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3458e899abb4b20" /></Relationships>
</file>

<file path=xl/workbook.xml><?xml version="1.0" encoding="utf-8"?>
<x:workbook xmlns:x="http://schemas.openxmlformats.org/spreadsheetml/2006/main">
  <x:sheets>
    <x:sheet xmlns:r="http://schemas.openxmlformats.org/officeDocument/2006/relationships" name="Rules" sheetId="1" r:id="Rd061544124514821"/>
    <x:sheet xmlns:r="http://schemas.openxmlformats.org/officeDocument/2006/relationships" name="Candidate Rules" sheetId="2" r:id="R050bb42488f147f1"/>
    <x:sheet xmlns:r="http://schemas.openxmlformats.org/officeDocument/2006/relationships" name="Rule Crosswalk" sheetId="3" r:id="Rb80f1be8ed0244d9"/>
    <x:sheet xmlns:r="http://schemas.openxmlformats.org/officeDocument/2006/relationships" name="Evidence" sheetId="4" r:id="Rda99a22821f441cf"/>
    <x:sheet xmlns:r="http://schemas.openxmlformats.org/officeDocument/2006/relationships" name="Logic Changes" sheetId="5" r:id="R427095acd57c468a"/>
    <x:sheet xmlns:r="http://schemas.openxmlformats.org/officeDocument/2006/relationships" name="Program Inventory" sheetId="6" r:id="R4706da9151044b36"/>
    <x:sheet xmlns:r="http://schemas.openxmlformats.org/officeDocument/2006/relationships" name="Parameters" sheetId="7" r:id="R81072f05bd704754"/>
    <x:sheet xmlns:r="http://schemas.openxmlformats.org/officeDocument/2006/relationships" name="Batch Summary" sheetId="8" r:id="R8e429fdb39d44a1d"/>
    <x:sheet xmlns:r="http://schemas.openxmlformats.org/officeDocument/2006/relationships" name="Source Workbooks" sheetId="9" r:id="R3a4b62be58c24a0f"/>
    <x:sheet xmlns:r="http://schemas.openxmlformats.org/officeDocument/2006/relationships" name="Unclassified Changes" sheetId="10" r:id="R39a01940b6a04b3d"/>
    <x:sheet xmlns:r="http://schemas.openxmlformats.org/officeDocument/2006/relationships" name="Summary" sheetId="11" r:id="Rfe194af97bf8496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FFFFFF"/>
      <x:name val="Carlito"/>
    </x:font>
    <x:font>
      <x:i/>
      <x:sz val="11"/>
      <x:color rgb="FF1F1F1F"/>
      <x:name val="Carlito"/>
    </x:font>
    <x:font>
      <x:b/>
      <x:sz val="11"/>
      <x:color rgb="FFFFFFFF"/>
      <x:name val="Carlito"/>
    </x:font>
    <x:font>
      <x:b/>
      <x:sz val="11"/>
      <x:name val="Carlito"/>
    </x:font>
    <x:font>
      <x:b/>
      <x:sz val="15"/>
      <x:color rgb="FFFFFFFF"/>
      <x:name val="Carlito"/>
    </x:font>
    <x:font>
      <x:i/>
      <x:sz val="11"/>
      <x:name val="Carlito"/>
    </x:font>
  </x:fonts>
  <x:fills count="6">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2F5597"/>
      </x:patternFill>
    </x:fill>
    <x:fill>
      <x:patternFill patternType="solid">
        <x:fgColor rgb="FFD9EAD3"/>
      </x:patternFill>
    </x:fill>
  </x:fills>
  <x:borders count="2">
    <x:border/>
    <x:border/>
  </x:borders>
  <x:cellStyleXfs count="1">
    <x:xf numFmtId="0" fontId="0" fillId="0" borderId="1"/>
  </x:cellStyleXfs>
  <x:cellXfs count="44">
    <x:xf numFmtId="0" fontId="0" fillId="0" borderId="0" xfId="0"/>
    <x:xf numFmtId="0" fontId="0" fillId="0" borderId="1" xfId="0"/>
    <x:xf numFmtId="0" fontId="0" fillId="2" borderId="0" xfId="0"/>
    <x:xf numFmtId="0" fontId="1" fillId="2" borderId="0" xfId="0"/>
    <x:xf numFmtId="0" fontId="1" fillId="2" borderId="0" xfId="0" applyAlignment="1">
      <x:alignment vertical="center"/>
    </x:xf>
    <x:xf numFmtId="0" fontId="0" fillId="2" borderId="1" xfId="0"/>
    <x:xf numFmtId="0" fontId="1" fillId="2" borderId="1" xfId="0"/>
    <x:xf numFmtId="0" fontId="1" fillId="2" borderId="1"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vertical="center"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0" borderId="1" xfId="0" applyAlignment="1">
      <x:alignment vertical="top" wrapText="1"/>
    </x:xf>
    <x:xf numFmtId="0" fontId="0" fillId="5" borderId="0" xfId="0"/>
    <x:xf numFmtId="0" fontId="4" fillId="5" borderId="0" xfId="0"/>
    <x:xf numFmtId="0" fontId="4" fillId="5" borderId="0" xfId="0" applyAlignment="1">
      <x:alignment horizontal="center"/>
    </x:xf>
    <x:xf numFmtId="0" fontId="0" fillId="5" borderId="1" xfId="0"/>
    <x:xf numFmtId="0" fontId="4" fillId="5" borderId="1" xfId="0"/>
    <x:xf numFmtId="0" fontId="4" fillId="5" borderId="1" xfId="0" applyAlignment="1">
      <x:alignment horizontal="center"/>
    </x:xf>
    <x:xf numFmtId="0" fontId="3" fillId="4" borderId="0" xfId="0" applyAlignment="1">
      <x:alignment horizontal="center"/>
    </x:xf>
    <x:xf numFmtId="0" fontId="3" fillId="4" borderId="1" xfId="0" applyAlignment="1">
      <x:alignment horizontal="center"/>
    </x:xf>
    <x:xf numFmtId="0" fontId="5" fillId="2" borderId="0" xfId="0"/>
    <x:xf numFmtId="0" fontId="5" fillId="2" borderId="1" xfId="0"/>
    <x:xf numFmtId="0" fontId="6" fillId="3" borderId="0" xfId="0"/>
    <x:xf numFmtId="0" fontId="6" fillId="3" borderId="0" xfId="0" applyAlignment="1">
      <x:alignment wrapText="1"/>
    </x:xf>
    <x:xf numFmtId="0" fontId="6" fillId="3" borderId="1" xfId="0"/>
    <x:xf numFmtId="0" fontId="6" fillId="3" borderId="1" xfId="0" applyAlignment="1">
      <x:alignment wrapText="1"/>
    </x:xf>
  </x:cellXfs>
  <x:cellStyles count="1">
    <x:cellStyle name="Normal" xfId="0"/>
  </x:cellStyles>
  <x:dxfs count="11">
    <x:dxf>
      <x:font>
        <x:b/>
      </x:font>
      <x:fill>
        <x:patternFill>
          <x:bgColor rgb="FFD9EAD3"/>
        </x:patternFill>
      </x:fill>
    </x:dxf>
    <x:dxf>
      <x:font>
        <x:b/>
      </x:font>
      <x:fill>
        <x:patternFill>
          <x:bgColor rgb="FFF4CCCC"/>
        </x:patternFill>
      </x:fill>
    </x:dxf>
    <x:dxf>
      <x:font>
        <x:b/>
      </x:font>
      <x:fill>
        <x:patternFill>
          <x:bgColor rgb="FFF4CCCC"/>
        </x:patternFill>
      </x:fill>
    </x:dxf>
    <x:dxf>
      <x:fill>
        <x:patternFill>
          <x:bgColor rgb="FFFCE5CD"/>
        </x:patternFill>
      </x:fill>
    </x:dxf>
    <x:dxf>
      <x:font>
        <x:b/>
      </x:font>
      <x:fill>
        <x:patternFill>
          <x:bgColor rgb="FFFFF2CC"/>
        </x:patternFill>
      </x:fill>
    </x:dxf>
    <x:dxf>
      <x:font>
        <x:b/>
      </x:font>
      <x:fill>
        <x:patternFill>
          <x:bgColor rgb="FFF4CCCC"/>
        </x:patternFill>
      </x:fill>
    </x:dxf>
    <x:dxf>
      <x:fill>
        <x:patternFill>
          <x:bgColor rgb="FFFCE5CD"/>
        </x:patternFill>
      </x:fill>
    </x:dxf>
    <x:dxf>
      <x:font>
        <x:b/>
      </x:font>
      <x:fill>
        <x:patternFill>
          <x:bgColor rgb="FFFFF2CC"/>
        </x:patternFill>
      </x:fill>
    </x:dxf>
    <x:dxf>
      <x:font>
        <x:b/>
      </x:font>
      <x:fill>
        <x:patternFill>
          <x:bgColor rgb="FFF4CCCC"/>
        </x:patternFill>
      </x:fill>
    </x:dxf>
    <x:dxf>
      <x:fill>
        <x:patternFill>
          <x:bgColor rgb="FFFFF2CC"/>
        </x:patternFill>
      </x:fill>
    </x:dxf>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78aa3207c474950" /><Relationship Type="http://schemas.openxmlformats.org/officeDocument/2006/relationships/theme" Target="/xl/theme/theme1.xml" Id="R3fafc164fcbe409a" /><Relationship Type="http://schemas.openxmlformats.org/officeDocument/2006/relationships/sharedStrings" Target="/xl/sharedStrings.xml" Id="Rc82018a9b7634f84" /><Relationship Type="http://schemas.openxmlformats.org/officeDocument/2006/relationships/worksheet" Target="/xl/worksheets/sheet1.xml" Id="Rd061544124514821" /><Relationship Type="http://schemas.openxmlformats.org/officeDocument/2006/relationships/worksheet" Target="/xl/worksheets/sheet2.xml" Id="R050bb42488f147f1" /><Relationship Type="http://schemas.openxmlformats.org/officeDocument/2006/relationships/worksheet" Target="/xl/worksheets/sheet3.xml" Id="Rb80f1be8ed0244d9" /><Relationship Type="http://schemas.openxmlformats.org/officeDocument/2006/relationships/worksheet" Target="/xl/worksheets/sheet4.xml" Id="Rda99a22821f441cf" /><Relationship Type="http://schemas.openxmlformats.org/officeDocument/2006/relationships/worksheet" Target="/xl/worksheets/sheet5.xml" Id="R427095acd57c468a" /><Relationship Type="http://schemas.openxmlformats.org/officeDocument/2006/relationships/worksheet" Target="/xl/worksheets/sheet6.xml" Id="R4706da9151044b36" /><Relationship Type="http://schemas.openxmlformats.org/officeDocument/2006/relationships/worksheet" Target="/xl/worksheets/sheet7.xml" Id="R81072f05bd704754" /><Relationship Type="http://schemas.openxmlformats.org/officeDocument/2006/relationships/worksheet" Target="/xl/worksheets/sheet8.xml" Id="R8e429fdb39d44a1d" /><Relationship Type="http://schemas.openxmlformats.org/officeDocument/2006/relationships/worksheet" Target="/xl/worksheets/sheet9.xml" Id="R3a4b62be58c24a0f" /><Relationship Type="http://schemas.openxmlformats.org/officeDocument/2006/relationships/worksheet" Target="/xl/worksheets/sheet10.xml" Id="R39a01940b6a04b3d" /><Relationship Type="http://schemas.openxmlformats.org/officeDocument/2006/relationships/worksheet" Target="/xl/worksheets/sheet11.xml" Id="Rfe194af97bf8496f" /></Relationships>
</file>

<file path=xl/drawings/_rels/drawing1.xml.rels>&#65279;<?xml version="1.0" encoding="utf-8"?><Relationships xmlns="http://schemas.openxmlformats.org/package/2006/relationships"><Relationship Type="http://schemas.openxmlformats.org/officeDocument/2006/relationships/chart" Target="/xl/drawings/charts/chart1.xml" Id="R7a5b8004b2fe4c86"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Rule Consolidation</a:t>
            </a:r>
          </a:p>
        </c:rich>
      </c:tx>
    </c:title>
    <c:plotArea>
      <c:barChart>
        <c:barDir val="col"/>
        <c:grouping val="clustered"/>
        <c:varyColors val="0"/>
        <c:ser>
          <c:idx val="0"/>
          <c:order val="0"/>
          <c:tx>
            <c:v>Count</c:v>
          </c:tx>
          <c:spPr>
            <a:ln xmlns:a="http://schemas.openxmlformats.org/drawingml/2006/main">
              <a:prstDash val="solid"/>
            </a:ln>
          </c:spPr>
          <c:cat>
            <c:strRef>
              <c:f>'Summary'!$D$5:$D$8</c:f>
              <c:strCache>
                <c:ptCount val="0"/>
              </c:strCache>
            </c:strRef>
          </c:cat>
          <c:val>
            <c:numRef>
              <c:f>'Summary'!$E$5:$E$8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9</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5b8004b2fe4c86"/>
        </a:graphicData>
      </a:graphic>
    </xdr:graphicFrame>
    <xdr:clientData/>
  </xdr:twoCellAnchor>
</xdr:wsDr>
</file>

<file path=xl/tables/table1.xml><?xml version="1.0" encoding="utf-8"?>
<x:table xmlns:x="http://schemas.openxmlformats.org/spreadsheetml/2006/main" id="1" name="MasterRulesTable" displayName="MasterRulesTable" ref="A3:R36" headerRowCount="1" totalsRowCount="0" totalsRowShown="0">
  <x:tableColumns count="18">
    <x:tableColumn id="1" name="Global Rule ID"/>
    <x:tableColumn id="2" name="Short Title"/>
    <x:tableColumn id="3" name="Axis"/>
    <x:tableColumn id="4" name="Category"/>
    <x:tableColumn id="5" name="Description"/>
    <x:tableColumn id="6" name="Before Pattern / Variants"/>
    <x:tableColumn id="7" name="After Pattern / Variants"/>
    <x:tableColumn id="8" name="Conditions"/>
    <x:tableColumn id="9" name="Automatability"/>
    <x:tableColumn id="10" name="Risk If Wrong"/>
    <x:tableColumn id="11" name="Occurrences"/>
    <x:tableColumn id="12" name="Distinct Programs"/>
    <x:tableColumn id="13" name="Source Batches"/>
    <x:tableColumn id="14" name="Example Programs"/>
    <x:tableColumn id="15" name="Conflict Status"/>
    <x:tableColumn id="16" name="Exceptions"/>
    <x:tableColumn id="17" name="Confidence"/>
    <x:tableColumn id="18" name="Source Finding IDs"/>
  </x:tableColumns>
  <x:tableStyleInfo name="TableStyleMedium2" showFirstColumn="0" showLastColumn="0" showRowStripes="1" showColumnStripes="0"/>
</x:table>
</file>

<file path=xl/tables/table2.xml><?xml version="1.0" encoding="utf-8"?>
<x:table xmlns:x="http://schemas.openxmlformats.org/spreadsheetml/2006/main" id="2" name="MasterCandidateRulesTable" displayName="MasterCandidateRulesTable" ref="A3:R19" headerRowCount="1" totalsRowCount="0" totalsRowShown="0">
  <x:tableColumns count="18">
    <x:tableColumn id="1" name="Global Rule ID"/>
    <x:tableColumn id="2" name="Short Title"/>
    <x:tableColumn id="3" name="Axis"/>
    <x:tableColumn id="4" name="Category"/>
    <x:tableColumn id="5" name="Description"/>
    <x:tableColumn id="6" name="Before Pattern / Variants"/>
    <x:tableColumn id="7" name="After Pattern / Variants"/>
    <x:tableColumn id="8" name="Conditions"/>
    <x:tableColumn id="9" name="Automatability"/>
    <x:tableColumn id="10" name="Risk If Wrong"/>
    <x:tableColumn id="11" name="Occurrences"/>
    <x:tableColumn id="12" name="Distinct Programs"/>
    <x:tableColumn id="13" name="Source Batches"/>
    <x:tableColumn id="14" name="Example Programs"/>
    <x:tableColumn id="15" name="Conflict Status"/>
    <x:tableColumn id="16" name="Exceptions"/>
    <x:tableColumn id="17" name="Confidence"/>
    <x:tableColumn id="18" name="Source Finding IDs"/>
  </x:tableColumns>
  <x:tableStyleInfo name="TableStyleMedium2" showFirstColumn="0" showLastColumn="0" showRowStripes="1" showColumnStripes="0"/>
</x:table>
</file>

<file path=xl/tables/table3.xml><?xml version="1.0" encoding="utf-8"?>
<x:table xmlns:x="http://schemas.openxmlformats.org/spreadsheetml/2006/main" id="3" name="RuleCrosswalkTable" displayName="RuleCrosswalkTable" ref="A3:M84" headerRowCount="1" totalsRowCount="0" totalsRowShown="0">
  <x:tableColumns count="13">
    <x:tableColumn id="1" name="Batch"/>
    <x:tableColumn id="2" name="Study"/>
    <x:tableColumn id="3" name="Domain"/>
    <x:tableColumn id="4" name="Original Finding Type"/>
    <x:tableColumn id="5" name="Original Rule ID"/>
    <x:tableColumn id="6" name="Original Short Title"/>
    <x:tableColumn id="7" name="Global Rule ID"/>
    <x:tableColumn id="8" name="Global Type"/>
    <x:tableColumn id="9" name="Global Short Title"/>
    <x:tableColumn id="10" name="Original Occurrences"/>
    <x:tableColumn id="11" name="Original Distinct Programs"/>
    <x:tableColumn id="12" name="Original Conflict Status"/>
    <x:tableColumn id="13" name="Consolidation Basis"/>
  </x:tableColumns>
  <x:tableStyleInfo name="TableStyleMedium2" showFirstColumn="0" showLastColumn="0" showRowStripes="1" showColumnStripes="0"/>
</x:table>
</file>

<file path=xl/tables/table4.xml><?xml version="1.0" encoding="utf-8"?>
<x:table xmlns:x="http://schemas.openxmlformats.org/spreadsheetml/2006/main" id="4" name="CombinedEvidenceTable" displayName="CombinedEvidenceTable" ref="A3:R4" headerRowCount="1" totalsRowCount="0" totalsRowShown="0">
  <x:tableColumns count="18">
    <x:tableColumn id="1" name="Global Rule ID"/>
    <x:tableColumn id="2" name="Global Type"/>
    <x:tableColumn id="3" name="Global Short Title"/>
    <x:tableColumn id="4" name="Batch"/>
    <x:tableColumn id="5" name="Study"/>
    <x:tableColumn id="6" name="Domain"/>
    <x:tableColumn id="7" name="Original Rule ID"/>
    <x:tableColumn id="8" name="Finding Type"/>
    <x:tableColumn id="9" name="Program Name"/>
    <x:tableColumn id="10" name="Before Relative Path"/>
    <x:tableColumn id="11" name="After Relative Path"/>
    <x:tableColumn id="12" name="Before Line Number"/>
    <x:tableColumn id="13" name="After Line Number"/>
    <x:tableColumn id="14" name="Before Line Verbatim"/>
    <x:tableColumn id="15" name="After Line Verbatim"/>
    <x:tableColumn id="16" name="Axis"/>
    <x:tableColumn id="17" name="Category"/>
    <x:tableColumn id="18" name="Evidence Note"/>
  </x:tableColumns>
  <x:tableStyleInfo name="TableStyleMedium2" showFirstColumn="0" showLastColumn="0" showRowStripes="1" showColumnStripes="0"/>
</x:table>
</file>

<file path=xl/tables/table5.xml><?xml version="1.0" encoding="utf-8"?>
<x:table xmlns:x="http://schemas.openxmlformats.org/spreadsheetml/2006/main" id="5" name="CombinedLogicTable" displayName="CombinedLogicTable" ref="A3:S4" headerRowCount="1" totalsRowCount="0" totalsRowShown="0">
  <x:tableColumns count="19">
    <x:tableColumn id="1" name="Logic ID"/>
    <x:tableColumn id="2" name="Batch"/>
    <x:tableColumn id="3" name="Study"/>
    <x:tableColumn id="4" name="Domain"/>
    <x:tableColumn id="5" name="Original Logic Pattern ID"/>
    <x:tableColumn id="6" name="Program"/>
    <x:tableColumn id="7" name="Before Relative Path"/>
    <x:tableColumn id="8" name="After Relative Path"/>
    <x:tableColumn id="9" name="Before Line Number"/>
    <x:tableColumn id="10" name="After Line Number"/>
    <x:tableColumn id="11" name="Before Text"/>
    <x:tableColumn id="12" name="After Text"/>
    <x:tableColumn id="13" name="Description"/>
    <x:tableColumn id="14" name="Potential Result Impact"/>
    <x:tableColumn id="15" name="Scope"/>
    <x:tableColumn id="16" name="Axis"/>
    <x:tableColumn id="17" name="Automatability"/>
    <x:tableColumn id="18" name="Risk If Wrong"/>
    <x:tableColumn id="19" name="Confidence"/>
  </x:tableColumns>
  <x:tableStyleInfo name="TableStyleMedium2" showFirstColumn="0" showLastColumn="0" showRowStripes="1" showColumnStripes="0"/>
</x:table>
</file>

<file path=xl/tables/table6.xml><?xml version="1.0" encoding="utf-8"?>
<x:table xmlns:x="http://schemas.openxmlformats.org/spreadsheetml/2006/main" id="6" name="CombinedProgramInventoryTable" displayName="CombinedProgramInventoryTable" ref="A3:AA4" headerRowCount="1" totalsRowCount="0" totalsRowShown="0">
  <x:tableColumns count="27">
    <x:tableColumn id="1" name="Batch"/>
    <x:tableColumn id="2" name="Study"/>
    <x:tableColumn id="3" name="Domain"/>
    <x:tableColumn id="4" name="Program"/>
    <x:tableColumn id="5" name="Before Program"/>
    <x:tableColumn id="6" name="After Program"/>
    <x:tableColumn id="7" name="Before Relative Path"/>
    <x:tableColumn id="8" name="After Relative Path"/>
    <x:tableColumn id="9" name="Pair Status"/>
    <x:tableColumn id="10" name="Pairing Method"/>
    <x:tableColumn id="11" name="Pairing Confidence"/>
    <x:tableColumn id="12" name="Lines Before"/>
    <x:tableColumn id="13" name="Lines After"/>
    <x:tableColumn id="14" name="Real Changes"/>
    <x:tableColumn id="15" name="Excluded Noise Changes"/>
    <x:tableColumn id="16" name="Line-Ending-Only Differences"/>
    <x:tableColumn id="17" name="OS Axis Change Count"/>
    <x:tableColumn id="18" name="Platform Axis Change Count"/>
    <x:tableColumn id="19" name="Both Axis Change Count"/>
    <x:tableColumn id="20" name="Unclear Axis Change Count"/>
    <x:tableColumn id="21" name="Logic Change Count"/>
    <x:tableColumn id="22" name="Global Rule IDs"/>
    <x:tableColumn id="23" name="Global Candidate IDs"/>
    <x:tableColumn id="24" name="Original Rule IDs"/>
    <x:tableColumn id="25" name="Original Candidate Rule IDs"/>
    <x:tableColumn id="26" name="Original Rule Exception IDs"/>
    <x:tableColumn id="27" name="Notes"/>
  </x:tableColumns>
  <x:tableStyleInfo name="TableStyleMedium2" showFirstColumn="0" showLastColumn="0" showRowStripes="1" showColumnStripes="0"/>
</x:table>
</file>

<file path=xl/tables/table7.xml><?xml version="1.0" encoding="utf-8"?>
<x:table xmlns:x="http://schemas.openxmlformats.org/spreadsheetml/2006/main" id="7" name="CombinedParametersTable" displayName="CombinedParametersTable" ref="A3:N49" headerRowCount="1" totalsRowCount="0" totalsRowShown="0">
  <x:tableColumns count="14">
    <x:tableColumn id="1" name="Parameter ID"/>
    <x:tableColumn id="2" name="Suggested Parameter Name"/>
    <x:tableColumn id="3" name="Parameter Type / Variants"/>
    <x:tableColumn id="4" name="Observed Before Values"/>
    <x:tableColumn id="5" name="Observed After Values"/>
    <x:tableColumn id="6" name="Global Rule IDs"/>
    <x:tableColumn id="7" name="Source Batches"/>
    <x:tableColumn id="8" name="Example Programs"/>
    <x:tableColumn id="9" name="Numeric Occurrence Total"/>
    <x:tableColumn id="10" name="Distinct Program Total"/>
    <x:tableColumn id="11" name="Scope / Variants"/>
    <x:tableColumn id="12" name="Occurrence Notes"/>
    <x:tableColumn id="13" name="Notes"/>
    <x:tableColumn id="14" name="Original Parameter IDs"/>
  </x:tableColumns>
  <x:tableStyleInfo name="TableStyleMedium2" showFirstColumn="0" showLastColumn="0" showRowStripes="1" showColumnStripes="0"/>
</x:table>
</file>

<file path=xl/tables/table8.xml><?xml version="1.0" encoding="utf-8"?>
<x:table xmlns:x="http://schemas.openxmlformats.org/spreadsheetml/2006/main" id="8" name="BatchSummaryTable" displayName="BatchSummaryTable" ref="A3:F4" headerRowCount="1" totalsRowCount="0" totalsRowShown="0">
  <x:tableColumns count="6">
    <x:tableColumn id="1" name="Batch"/>
    <x:tableColumn id="2" name="Study"/>
    <x:tableColumn id="3" name="Domain"/>
    <x:tableColumn id="4" name="Source Workbook"/>
    <x:tableColumn id="5" name="Metric"/>
    <x:tableColumn id="6" name="Result"/>
  </x:tableColumns>
  <x:tableStyleInfo name="TableStyleMedium2" showFirstColumn="0" showLastColumn="0" showRowStripes="1" showColumnStripes="0"/>
</x:table>
</file>

<file path=xl/tables/table9.xml><?xml version="1.0" encoding="utf-8"?>
<x:table xmlns:x="http://schemas.openxmlformats.org/spreadsheetml/2006/main" id="9" name="SourceWorkbooksTable" displayName="SourceWorkbooksTable" ref="A3:I4" headerRowCount="1" totalsRowCount="0" totalsRowShown="0">
  <x:tableColumns count="9">
    <x:tableColumn id="1" name="Batch"/>
    <x:tableColumn id="2" name="Study"/>
    <x:tableColumn id="3" name="Domain"/>
    <x:tableColumn id="4" name="Workbook"/>
    <x:tableColumn id="5" name="Original Rules"/>
    <x:tableColumn id="6" name="Original Candidate Rules"/>
    <x:tableColumn id="7" name="Evidence Rows"/>
    <x:tableColumn id="8" name="Logic Change Rows"/>
    <x:tableColumn id="9" name="Program Inventory Row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65fa95fd664022" /></Relationships>
</file>

<file path=xl/worksheets/_rels/sheet2.xml.rels>&#65279;<?xml version="1.0" encoding="utf-8"?><Relationships xmlns="http://schemas.openxmlformats.org/package/2006/relationships"><Relationship Type="http://schemas.openxmlformats.org/officeDocument/2006/relationships/table" Target="/xl/tables/table2.xml" Id="R59093a3935724c70" /></Relationships>
</file>

<file path=xl/worksheets/_rels/sheet3.xml.rels>&#65279;<?xml version="1.0" encoding="utf-8"?><Relationships xmlns="http://schemas.openxmlformats.org/package/2006/relationships"><Relationship Type="http://schemas.openxmlformats.org/officeDocument/2006/relationships/table" Target="/xl/tables/table3.xml" Id="R87eba432a8f44028" /></Relationships>
</file>

<file path=xl/worksheets/_rels/sheet4.xml.rels>&#65279;<?xml version="1.0" encoding="utf-8"?><Relationships xmlns="http://schemas.openxmlformats.org/package/2006/relationships"><Relationship Type="http://schemas.openxmlformats.org/officeDocument/2006/relationships/table" Target="/xl/tables/table4.xml" Id="R394ae260bdca4b2d" /></Relationships>
</file>

<file path=xl/worksheets/_rels/sheet5.xml.rels>&#65279;<?xml version="1.0" encoding="utf-8"?><Relationships xmlns="http://schemas.openxmlformats.org/package/2006/relationships"><Relationship Type="http://schemas.openxmlformats.org/officeDocument/2006/relationships/table" Target="/xl/tables/table5.xml" Id="R5c65b230a00f4dbe" /></Relationships>
</file>

<file path=xl/worksheets/_rels/sheet6.xml.rels>&#65279;<?xml version="1.0" encoding="utf-8"?><Relationships xmlns="http://schemas.openxmlformats.org/package/2006/relationships"><Relationship Type="http://schemas.openxmlformats.org/officeDocument/2006/relationships/table" Target="/xl/tables/table6.xml" Id="Rc08d41c8edd841f6" /></Relationships>
</file>

<file path=xl/worksheets/_rels/sheet7.xml.rels>&#65279;<?xml version="1.0" encoding="utf-8"?><Relationships xmlns="http://schemas.openxmlformats.org/package/2006/relationships"><Relationship Type="http://schemas.openxmlformats.org/officeDocument/2006/relationships/table" Target="/xl/tables/table7.xml" Id="R7ff7ebac99ab4f16" /></Relationships>
</file>

<file path=xl/worksheets/_rels/sheet8.xml.rels>&#65279;<?xml version="1.0" encoding="utf-8"?><Relationships xmlns="http://schemas.openxmlformats.org/package/2006/relationships"><Relationship Type="http://schemas.openxmlformats.org/officeDocument/2006/relationships/table" Target="/xl/tables/table8.xml" Id="R13a68f7057b24b8a" /></Relationships>
</file>

<file path=xl/worksheets/_rels/sheet9.xml.rels>&#65279;<?xml version="1.0" encoding="utf-8"?><Relationships xmlns="http://schemas.openxmlformats.org/package/2006/relationships"><Relationship Type="http://schemas.openxmlformats.org/officeDocument/2006/relationships/table" Target="/xl/tables/table9.xml" Id="Rafe47ea7c2a14a3f" /></Relationships>
</file>

<file path=xl/worksheets/_rels/sheet11.xml.rels>&#65279;<?xml version="1.0" encoding="utf-8"?><Relationships xmlns="http://schemas.openxmlformats.org/package/2006/relationships"><Relationship Type="http://schemas.openxmlformats.org/officeDocument/2006/relationships/drawing" Target="/xl/drawings/drawing1.xml" Id="R4638130cc34848ee" /></Relationships>
</file>

<file path=xl/worksheets/sheet1.xml><?xml version="1.0" encoding="utf-8"?>
<x:worksheet xmlns:x="http://schemas.openxmlformats.org/spreadsheetml/2006/main">
  <x:sheetFormatPr baseColWidth="8" defaultRowHeight="15"/>
  <x:cols>
    <x:col min="1" max="1" width="12" customWidth="1"/>
    <x:col min="2" max="2" width="30" customWidth="1"/>
    <x:col min="3" max="3" width="12" customWidth="1"/>
    <x:col min="4" max="4" width="30" customWidth="1"/>
    <x:col min="5" max="5" width="52" customWidth="1"/>
    <x:col min="6" max="6" width="58" customWidth="1"/>
    <x:col min="7" max="7" width="58" customWidth="1"/>
    <x:col min="8" max="8" width="52" customWidth="1"/>
    <x:col min="9" max="9" width="16" customWidth="1"/>
    <x:col min="10" max="10" width="14" customWidth="1"/>
    <x:col min="11" max="11" width="12" customWidth="1"/>
    <x:col min="12" max="12" width="14" customWidth="1"/>
    <x:col min="13" max="13" width="28" customWidth="1"/>
    <x:col min="14" max="14" width="40" customWidth="1"/>
    <x:col min="15" max="15" width="18" customWidth="1"/>
    <x:col min="16" max="16" width="52" customWidth="1"/>
    <x:col min="17" max="17" width="12" customWidth="1"/>
    <x:col min="18" max="18" width="72" customWidth="1"/>
  </x:cols>
  <x:sheetData>
    <x:row r="1" ht="27" customHeight="1">
      <x:c r="A1" s="7" t="inlineStr">
        <x:is>
          <x:t xml:space="preserve">Consolidated Migration Rules</x:t>
        </x:is>
      </x:c>
      <x:c r="B1" s="1" t="n"/>
      <x:c r="C1" s="1" t="n"/>
      <x:c r="D1" s="1" t="n"/>
      <x:c r="E1" s="1" t="n"/>
      <x:c r="F1" s="1" t="n"/>
      <x:c r="G1" s="1" t="n"/>
      <x:c r="H1" s="1" t="n"/>
      <x:c r="I1" s="1" t="n"/>
      <x:c r="J1" s="1" t="n"/>
      <x:c r="K1" s="1" t="n"/>
      <x:c r="L1" s="1" t="n"/>
      <x:c r="M1" s="1" t="n"/>
      <x:c r="N1" s="1" t="n"/>
      <x:c r="O1" s="1" t="n"/>
      <x:c r="P1" s="1" t="n"/>
      <x:c r="Q1" s="1" t="n"/>
      <x:c r="R1" s="1" t="n"/>
    </x:row>
    <x:row r="2" ht="34" customHeight="1">
      <x:c r="A2" s="15" t="inlineStr">
        <x:is>
          <x:t xml:space="preserve">Global IDs are batch-neutral. Similar rules from different studies/domains are merged; source batches and original IDs remain traceable in this sheet and Rule Crosswalk.</x:t>
        </x:is>
      </x:c>
      <x:c r="B2" s="1" t="n"/>
      <x:c r="C2" s="1" t="n"/>
      <x:c r="D2" s="1" t="n"/>
      <x:c r="E2" s="1" t="n"/>
      <x:c r="F2" s="1" t="n"/>
      <x:c r="G2" s="1" t="n"/>
      <x:c r="H2" s="1" t="n"/>
      <x:c r="I2" s="1" t="n"/>
      <x:c r="J2" s="1" t="n"/>
      <x:c r="K2" s="1" t="n"/>
      <x:c r="L2" s="1" t="n"/>
      <x:c r="M2" s="1" t="n"/>
      <x:c r="N2" s="1" t="n"/>
      <x:c r="O2" s="1" t="n"/>
      <x:c r="P2" s="1" t="n"/>
      <x:c r="Q2" s="1" t="n"/>
      <x:c r="R2" s="1" t="n"/>
    </x:row>
    <x:row r="3" ht="36" customHeight="1">
      <x:c r="A3" s="20" t="inlineStr">
        <x:is>
          <x:t xml:space="preserve">Global Rule ID</x:t>
        </x:is>
      </x:c>
      <x:c r="B3" s="20" t="inlineStr">
        <x:is>
          <x:t xml:space="preserve">Short Title</x:t>
        </x:is>
      </x:c>
      <x:c r="C3" s="20" t="inlineStr">
        <x:is>
          <x:t xml:space="preserve">Axis</x:t>
        </x:is>
      </x:c>
      <x:c r="D3" s="20" t="inlineStr">
        <x:is>
          <x:t xml:space="preserve">Category</x:t>
        </x:is>
      </x:c>
      <x:c r="E3" s="20" t="inlineStr">
        <x:is>
          <x:t xml:space="preserve">Description</x:t>
        </x:is>
      </x:c>
      <x:c r="F3" s="20" t="inlineStr">
        <x:is>
          <x:t xml:space="preserve">Before Pattern / Variants</x:t>
        </x:is>
      </x:c>
      <x:c r="G3" s="20" t="inlineStr">
        <x:is>
          <x:t xml:space="preserve">After Pattern / Variants</x:t>
        </x:is>
      </x:c>
      <x:c r="H3" s="20" t="inlineStr">
        <x:is>
          <x:t xml:space="preserve">Conditions</x:t>
        </x:is>
      </x:c>
      <x:c r="I3" s="20" t="inlineStr">
        <x:is>
          <x:t xml:space="preserve">Automatability</x:t>
        </x:is>
      </x:c>
      <x:c r="J3" s="20" t="inlineStr">
        <x:is>
          <x:t xml:space="preserve">Risk If Wrong</x:t>
        </x:is>
      </x:c>
      <x:c r="K3" s="20" t="inlineStr">
        <x:is>
          <x:t xml:space="preserve">Occurrences</x:t>
        </x:is>
      </x:c>
      <x:c r="L3" s="20" t="inlineStr">
        <x:is>
          <x:t xml:space="preserve">Distinct Programs</x:t>
        </x:is>
      </x:c>
      <x:c r="M3" s="20" t="inlineStr">
        <x:is>
          <x:t xml:space="preserve">Source Batches</x:t>
        </x:is>
      </x:c>
      <x:c r="N3" s="20" t="inlineStr">
        <x:is>
          <x:t xml:space="preserve">Example Programs</x:t>
        </x:is>
      </x:c>
      <x:c r="O3" s="20" t="inlineStr">
        <x:is>
          <x:t xml:space="preserve">Conflict Status</x:t>
        </x:is>
      </x:c>
      <x:c r="P3" s="20" t="inlineStr">
        <x:is>
          <x:t xml:space="preserve">Exceptions</x:t>
        </x:is>
      </x:c>
      <x:c r="Q3" s="20" t="inlineStr">
        <x:is>
          <x:t xml:space="preserve">Confidence</x:t>
        </x:is>
      </x:c>
      <x:c r="R3" s="20" t="inlineStr">
        <x:is>
          <x:t xml:space="preserve">Source Finding IDs</x:t>
        </x:is>
      </x:c>
    </x:row>
    <x:row r="4" ht="78" customHeight="1">
      <x:c r="A4" s="28" t="inlineStr">
        <x:is>
          <x:t xml:space="preserve">R-001</x:t>
        </x:is>
      </x:c>
      <x:c r="B4" s="28" t="inlineStr">
        <x:is>
          <x:t xml:space="preserve">Include SCE macro autoexec</x:t>
        </x:is>
      </x:c>
      <x:c r="C4" s="28" t="inlineStr">
        <x:is>
          <x:t xml:space="preserve">Both</x:t>
        </x:is>
      </x:c>
      <x:c r="D4" s="28" t="inlineStr">
        <x:is>
          <x:t xml:space="preserve">Autoexec dependency and path syntax</x:t>
        </x:is>
      </x:c>
      <x:c r="E4" s="28" t="str">
        <x:v>Adds `%include "&amp;targetStudy.\Programs\Macros\autoexec.sas";` to program startup. Apply only under the consolidated conditions and variants supported by the evidence from EXAMPLE002 ADaM, EXAMPLE002 SDTM, EXAMPLE002 TLF.</x:v>
      </x:c>
      <x:c r="F4" s="28" t="inlineStr">
        <x:is>
          <x:t xml:space="preserve">[no corresponding executable line]</x:t>
        </x:is>
      </x:c>
      <x:c r="G4" s="28" t="inlineStr">
        <x:is>
          <x:t xml:space="preserve">%include "&amp;targetStudy.\Programs\Macros\autoexec.sas";</x:t>
        </x:is>
      </x:c>
      <x:c r="H4" s="28" t="inlineStr">
        <x:is>
          <x:t xml:space="preserve">Insert in the startup/bootstrap section before migration-dependent macro calls. | Insert once in program startup. | Insert in startup only for the validated subset; do not assume every paired TLF program requires it.</x:t>
        </x:is>
      </x:c>
      <x:c r="I4" s="28" t="inlineStr">
        <x:is>
          <x:t xml:space="preserve">Contextual</x:t>
        </x:is>
      </x:c>
      <x:c r="J4" s="28" t="inlineStr">
        <x:is>
          <x:t xml:space="preserve">High</x:t>
        </x:is>
      </x:c>
      <x:c r="K4" s="28" t="n">
        <x:v>84</x:v>
      </x:c>
      <x:c r="L4" s="28" t="n">
        <x:v>84</x:v>
      </x:c>
      <x:c r="M4" s="28" t="str">
        <x:v>EXAMPLE002 ADaM; EXAMPLE002 SDTM; EXAMPLE002 TLF</x:v>
      </x:c>
      <x:c r="N4" s="28" t="str">
        <x:v>EXAMPLE002 ADaM: u900adae.sas; EXAMPLE002 ADaM: u900adcm.sas; EXAMPLE002 ADaM: u900adcv.sas; EXAMPLE002 ADaM: u900addv.sas; EXAMPLE002 ADaM: u900adef.sas</x:v>
      </x:c>
      <x:c r="O4" s="28" t="inlineStr">
        <x:is>
          <x:t xml:space="preserve">Conflicted</x:t>
        </x:is>
      </x:c>
      <x:c r="P4" s="28" t="inlineStr">
        <x:is>
          <x:t xml:space="preserve">28 paired programs contain no corresponding SCE autoexec insertion.</x:t>
        </x:is>
      </x:c>
      <x:c r="Q4" s="28" t="inlineStr">
        <x:is>
          <x:t xml:space="preserve">Medium</x:t>
        </x:is>
      </x:c>
      <x:c r="R4" s="28" t="str">
        <x:v>EXAMPLE002 ADaM:R-EXAMPLE002-ADAM-001; EXAMPLE002 SDTM:R-EXAMPLE002-SDTM-001; EXAMPLE002 TLF:R-EXAMPLE002-TLF-001</x:v>
      </x:c>
    </x:row>
    <x:row r="5" ht="78" customHeight="1">
      <x:c r="A5" s="28" t="inlineStr">
        <x:is>
          <x:t xml:space="preserve">R-002</x:t>
        </x:is>
      </x:c>
      <x:c r="B5" s="28" t="str">
        <x:v>Redirect ADaM UTIL_GETDATA libref</x:v>
      </x:c>
      <x:c r="C5" s="28" t="inlineStr">
        <x:is>
          <x:t xml:space="preserve">Platform</x:t>
        </x:is>
      </x:c>
      <x:c r="D5" s="28" t="inlineStr">
        <x:is>
          <x:t xml:space="preserve">LIBNAME/data-layer assignment</x:t>
        </x:is>
      </x:c>
      <x:c r="E5" s="28" t="str">
        <x:v>Changes `%util_getdata` reads of ADaM datasets from the generic DATA libref to the explicit ADaM libref. Apply only under the consolidated conditions and variants supported by the evidence from EXAMPLE002 ADaM, EXAMPLE002 TLF.</x:v>
      </x:c>
      <x:c r="F5" s="28" t="inlineStr">
        <x:is>
          <x:t xml:space="preserve">Variant 1: %util_getdata(..., libref=data|DATA, ...);
Variant 2: %util_getdata(&lt;ADAM_DATASET(S)&gt;, libref=data, ...);</x:t>
        </x:is>
      </x:c>
      <x:c r="G5" s="28" t="inlineStr">
        <x:is>
          <x:t xml:space="preserve">Variant 1: %util_getdata(..., libref={ADAM_LIBREF}, ...);
Variant 2: %util_getdata(&lt;ADAM_DATASET(S)&gt;, libref=ADaM, ...);</x:t>
        </x:is>
      </x:c>
      <x:c r="H5" s="28" t="inlineStr">
        <x:is>
          <x:t xml:space="preserve">Dataset must be an ADaM member rather than SDTM/raw data; preserve the remainder of the call. | Referenced members are ADaM datasets and the target program belongs to the validated rerouted subset.</x:t>
        </x:is>
      </x:c>
      <x:c r="I5" s="28" t="inlineStr">
        <x:is>
          <x:t xml:space="preserve">Contextual</x:t>
        </x:is>
      </x:c>
      <x:c r="J5" s="28" t="inlineStr">
        <x:is>
          <x:t xml:space="preserve">High</x:t>
        </x:is>
      </x:c>
      <x:c r="K5" s="28" t="n">
        <x:v>70</x:v>
      </x:c>
      <x:c r="L5" s="28" t="n">
        <x:v>43</x:v>
      </x:c>
      <x:c r="M5" s="28" t="str">
        <x:v>EXAMPLE002 ADaM; EXAMPLE002 TLF</x:v>
      </x:c>
      <x:c r="N5" s="28" t="str">
        <x:v>EXAMPLE002 ADaM: u900adae.sas; EXAMPLE002 ADaM: u900adcm.sas; EXAMPLE002 ADaM: u900adcv.sas; EXAMPLE002 ADaM: u900adeg.sas; EXAMPLE002 ADaM: u900adex.sas</x:v>
      </x:c>
      <x:c r="O5" s="28" t="inlineStr">
        <x:is>
          <x:t xml:space="preserve">Conflicted</x:t>
        </x:is>
      </x:c>
      <x:c r="P5" s="28" t="inlineStr">
        <x:is>
          <x:t xml:space="preserve">After libref capitalization is `ADaM` in some programs and `adam` in others; no executable condition for the case choice is visible. | 22 comparable ADaM reads across 13 paired programs retain libref=data.</x:t>
        </x:is>
      </x:c>
      <x:c r="Q5" s="28" t="inlineStr">
        <x:is>
          <x:t xml:space="preserve">Medium</x:t>
        </x:is>
      </x:c>
      <x:c r="R5" s="28" t="str">
        <x:v>EXAMPLE002 ADaM:R-EXAMPLE002-ADAM-002; EXAMPLE002 TLF:R-EXAMPLE002-TLF-002</x:v>
      </x:c>
    </x:row>
    <x:row r="6" ht="78" customHeight="1">
      <x:c r="A6" s="28" t="inlineStr">
        <x:is>
          <x:t xml:space="preserve">R-003</x:t>
        </x:is>
      </x:c>
      <x:c r="B6" s="28" t="inlineStr">
        <x:is>
          <x:t xml:space="preserve">Disable legacy INIT call</x:t>
        </x:is>
      </x:c>
      <x:c r="C6" s="28" t="inlineStr">
        <x:is>
          <x:t xml:space="preserve">Platform</x:t>
        </x:is>
      </x:c>
      <x:c r="D6" s="28" t="inlineStr">
        <x:is>
          <x:t xml:space="preserve">SCE utility macro dependency</x:t>
        </x:is>
      </x:c>
      <x:c r="E6" s="28" t="str">
        <x:v>Comments out the standalone `%init;` startup call. Apply only under the consolidated conditions and variants supported by the evidence from EXAMPLE001 ADaM, EXAMPLE001 SDTM, EXAMPLE001 TLF.</x:v>
      </x:c>
      <x:c r="F6" s="28" t="inlineStr">
        <x:is>
          <x:t xml:space="preserve">%init;</x:t>
        </x:is>
      </x:c>
      <x:c r="G6" s="28" t="inlineStr">
        <x:is>
          <x:t xml:space="preserve">/*%init;*/</x:t>
        </x:is>
      </x:c>
      <x:c r="H6" s="28" t="inlineStr">
        <x:is>
          <x:t xml:space="preserve">Standalone startup statement only. | Active standalone %init; statement; exclude relrec.sas unless a separate condition is established. | Exact standalone %init; statement in paired source; do not apply blindly to l-death.sas.</x:t>
        </x:is>
      </x:c>
      <x:c r="I6" s="28" t="inlineStr">
        <x:is>
          <x:t xml:space="preserve">Contextual</x:t>
        </x:is>
      </x:c>
      <x:c r="J6" s="28" t="inlineStr">
        <x:is>
          <x:t xml:space="preserve">Medium</x:t>
        </x:is>
      </x:c>
      <x:c r="K6" s="28" t="n">
        <x:v>64</x:v>
      </x:c>
      <x:c r="L6" s="28" t="n">
        <x:v>64</x:v>
      </x:c>
      <x:c r="M6" s="28" t="str">
        <x:v>EXAMPLE001 ADaM; EXAMPLE001 SDTM; EXAMPLE001 TLF</x:v>
      </x:c>
      <x:c r="N6" s="28" t="str">
        <x:v>EXAMPLE001 ADaM: adae.sas; EXAMPLE001 ADaM: adbase.sas; EXAMPLE001 ADaM: adcm.sas; EXAMPLE001 ADaM: adex.sas; EXAMPLE001 ADaM: adexsum.sas</x:v>
      </x:c>
      <x:c r="O6" s="28" t="inlineStr">
        <x:is>
          <x:t xml:space="preserve">Conflicted</x:t>
        </x:is>
      </x:c>
      <x:c r="P6" s="28" t="inlineStr">
        <x:is>
          <x:t xml:space="preserve">relrec.sas retains active %init; with no visible distinguishing condition beyond program identity. | l-death.sas removes the legacy startup block rather than preserving a commented %init; line.</x:t>
        </x:is>
      </x:c>
      <x:c r="Q6" s="28" t="inlineStr">
        <x:is>
          <x:t xml:space="preserve">Medium</x:t>
        </x:is>
      </x:c>
      <x:c r="R6" s="28" t="str">
        <x:v>EXAMPLE001 ADaM:R-EXAMPLE001-ADAM-001; EXAMPLE001 SDTM:R-EXAMPLE001-SDTM-001; EXAMPLE001 TLF:R-EXAMPLE001-TLF-001</x:v>
      </x:c>
    </x:row>
    <x:row r="7" ht="78" customHeight="1">
      <x:c r="A7" s="28" t="inlineStr">
        <x:is>
          <x:t xml:space="preserve">R-004</x:t>
        </x:is>
      </x:c>
      <x:c r="B7" s="28" t="inlineStr">
        <x:is>
          <x:t xml:space="preserve">Route ADaM outputs explicitly</x:t>
        </x:is>
      </x:c>
      <x:c r="C7" s="28" t="inlineStr">
        <x:is>
          <x:t xml:space="preserve">Platform</x:t>
        </x:is>
      </x:c>
      <x:c r="D7" s="28" t="inlineStr">
        <x:is>
          <x:t xml:space="preserve">Output data-layer assignment</x:t>
        </x:is>
      </x:c>
      <x:c r="E7" s="28" t="str">
        <x:v>Adds the explicit ADaM libref to SAS7BDAT and transport-output `%util_cvtds` calls. Apply only under the consolidated conditions and variants supported by the evidence from EXAMPLE002 ADaM.</x:v>
      </x:c>
      <x:c r="F7" s="28" t="inlineStr">
        <x:is>
          <x:t xml:space="preserve">Variant 1: %util_cvtds(&lt;DOMAIN&gt;,ext=sas7bdat,engine=V9);
Variant 2: %util_cvtds(&lt;DOMAIN&gt;);</x:t>
        </x:is>
      </x:c>
      <x:c r="G7" s="28" t="inlineStr">
        <x:is>
          <x:t xml:space="preserve">Variant 1: %util_cvtds(&lt;DOMAIN&gt;,libref={ADAM_LIBREF},ext=sas7bdat,engine=V9);
Variant 2: %util_cvtds(&lt;DOMAIN&gt;,libref={ADAM_LIBREF});</x:t>
        </x:is>
      </x:c>
      <x:c r="H7" s="28" t="str">
        <x:v>Match the SAS7BDAT output call, not the subsequent XPT call; preserve spacing/options and review punctuation exceptions. | Apply to the transport-output invocation after `%util_resize_xpt`.</x:v>
      </x:c>
      <x:c r="I7" s="28" t="inlineStr">
        <x:is>
          <x:t xml:space="preserve">Deterministic</x:t>
        </x:is>
      </x:c>
      <x:c r="J7" s="28" t="inlineStr">
        <x:is>
          <x:t xml:space="preserve">High</x:t>
        </x:is>
      </x:c>
      <x:c r="K7" s="28" t="n">
        <x:v>46</x:v>
      </x:c>
      <x:c r="L7" s="28" t="n">
        <x:v>23</x:v>
      </x:c>
      <x:c r="M7" s="28" t="str">
        <x:v>EXAMPLE002 ADaM</x:v>
      </x:c>
      <x:c r="N7" s="28" t="str">
        <x:v>EXAMPLE002 ADaM: u900adae.sas; EXAMPLE002 ADaM: u900adcm.sas; EXAMPLE002 ADaM: u900adcv.sas; EXAMPLE002 ADaM: u900addv.sas; EXAMPLE002 ADaM: u900adef.sas</x:v>
      </x:c>
      <x:c r="O7" s="28" t="inlineStr">
        <x:is>
          <x:t xml:space="preserve">Conflicted</x:t>
        </x:is>
      </x:c>
      <x:c r="P7" s="28" t="inlineStr">
        <x:is>
          <x:t xml:space="preserve">u900adqs.sas and u900adxi.sas omit the original terminal semicolon; u900adtr.sas has a doubled semicolon; libref capitalization varies. | The after-set uses both `ADaM` and `adam` capitalization for the same SAS libref.</x:t>
        </x:is>
      </x:c>
      <x:c r="Q7" s="28" t="inlineStr">
        <x:is>
          <x:t xml:space="preserve">High</x:t>
        </x:is>
      </x:c>
      <x:c r="R7" s="28" t="str">
        <x:v>EXAMPLE002 ADaM:R-EXAMPLE002-ADAM-004; EXAMPLE002 ADaM:R-EXAMPLE002-ADAM-005</x:v>
      </x:c>
    </x:row>
    <x:row r="8" ht="78" customHeight="1">
      <x:c r="A8" s="28" t="inlineStr">
        <x:is>
          <x:t xml:space="preserve">R-005</x:t>
        </x:is>
      </x:c>
      <x:c r="B8" s="28" t="inlineStr">
        <x:is>
          <x:t xml:space="preserve">Use SCE SDTM autoexec</x:t>
        </x:is>
      </x:c>
      <x:c r="C8" s="28" t="inlineStr">
        <x:is>
          <x:t xml:space="preserve">Both</x:t>
        </x:is>
      </x:c>
      <x:c r="D8" s="28" t="inlineStr">
        <x:is>
          <x:t xml:space="preserve">Autoexec dependency and path syntax</x:t>
        </x:is>
      </x:c>
      <x:c r="E8" s="28" t="str">
        <x:v>Replaces or supplements the legacy SDTM startup dependency with the SCE SDTM autoexec path. Apply only under the consolidated conditions and variants supported by the evidence from EXAMPLE001 ADaM, EXAMPLE001 SDTM, EXAMPLE001 TLF.</x:v>
      </x:c>
      <x:c r="F8" s="28" t="inlineStr">
        <x:is>
          <x:t xml:space="preserve">Variant 1: [no corresponding executable line]
Variant 2: %include "../../../../programs/sdtm/20260131_SYNTH/primary/autoexec.sas";</x:t>
        </x:is>
      </x:c>
      <x:c r="G8" s="28" t="inlineStr">
        <x:is>
          <x:t xml:space="preserve">%include "&amp;targetStudy.\Dev\Programs\SDTM\autoexec.sas";</x:t>
        </x:is>
      </x:c>
      <x:c r="H8" s="28" t="inlineStr">
        <x:is>
          <x:t xml:space="preserve">Insert in the startup/bootstrap section. | Active legacy study autoexec include; exclude relrec.sas unless a separate condition is established. | Observed only in TLF autoexec.sas and chk_log.sas bootstrap/driver code.</x:t>
        </x:is>
      </x:c>
      <x:c r="I8" s="28" t="inlineStr">
        <x:is>
          <x:t xml:space="preserve">Contextual</x:t>
        </x:is>
      </x:c>
      <x:c r="J8" s="28" t="inlineStr">
        <x:is>
          <x:t xml:space="preserve">High</x:t>
        </x:is>
      </x:c>
      <x:c r="K8" s="28" t="n">
        <x:v>44</x:v>
      </x:c>
      <x:c r="L8" s="28" t="n">
        <x:v>44</x:v>
      </x:c>
      <x:c r="M8" s="28" t="str">
        <x:v>EXAMPLE001 ADaM; EXAMPLE001 SDTM; EXAMPLE001 TLF</x:v>
      </x:c>
      <x:c r="N8" s="28" t="str">
        <x:v>EXAMPLE001 ADaM: adae.sas; EXAMPLE001 ADaM: adbase.sas; EXAMPLE001 ADaM: adcm.sas; EXAMPLE001 ADaM: adex.sas; EXAMPLE001 ADaM: adexsum.sas</x:v>
      </x:c>
      <x:c r="O8" s="28" t="inlineStr">
        <x:is>
          <x:t xml:space="preserve">Conflicted</x:t>
        </x:is>
      </x:c>
      <x:c r="P8" s="28" t="inlineStr">
        <x:is>
          <x:t xml:space="preserve">relrec.sas retains the legacy active include; 18 transformed programs also retain a non-executable commented copy of the old include as noise.</x:t>
        </x:is>
      </x:c>
      <x:c r="Q8" s="28" t="inlineStr">
        <x:is>
          <x:t xml:space="preserve">Medium</x:t>
        </x:is>
      </x:c>
      <x:c r="R8" s="28" t="str">
        <x:v>EXAMPLE001 ADaM:R-EXAMPLE001-ADAM-003; EXAMPLE001 SDTM:R-EXAMPLE001-SDTM-002; EXAMPLE001 TLF:R-EXAMPLE001-TLF-008</x:v>
      </x:c>
    </x:row>
    <x:row r="9" ht="78" customHeight="1">
      <x:c r="A9" s="28" t="inlineStr">
        <x:is>
          <x:t xml:space="preserve">R-006</x:t>
        </x:is>
      </x:c>
      <x:c r="B9" s="28" t="inlineStr">
        <x:is>
          <x:t xml:space="preserve">Disable legacy XPT resizing</x:t>
        </x:is>
      </x:c>
      <x:c r="C9" s="28" t="inlineStr">
        <x:is>
          <x:t xml:space="preserve">Platform</x:t>
        </x:is>
      </x:c>
      <x:c r="D9" s="28" t="inlineStr">
        <x:is>
          <x:t xml:space="preserve">Output and deliverable handling</x:t>
        </x:is>
      </x:c>
      <x:c r="E9" s="28" t="str">
        <x:v>Comments out selected `%util_resize_xpt(...)` calls that resize SDTM datasets for transport output. Apply only to the validated domains where the call is disabled; other paired programs retain active UTIL_RESIZE_XPT calls.</x:v>
      </x:c>
      <x:c r="F9" s="28" t="str">
        <x:v>%util_resize_xpt(...);</x:v>
      </x:c>
      <x:c r="G9" s="28" t="str">
        <x:v>*%util_resize_xpt(...);</x:v>
      </x:c>
      <x:c r="H9" s="28" t="inlineStr">
        <x:is>
          <x:t xml:space="preserve">Domain/output context must match a validated disabled instance.</x:t>
        </x:is>
      </x:c>
      <x:c r="I9" s="28" t="inlineStr">
        <x:is>
          <x:t xml:space="preserve">Contextual</x:t>
        </x:is>
      </x:c>
      <x:c r="J9" s="28" t="inlineStr">
        <x:is>
          <x:t xml:space="preserve">High</x:t>
        </x:is>
      </x:c>
      <x:c r="K9" s="28" t="n">
        <x:v>27</x:v>
      </x:c>
      <x:c r="L9" s="28" t="n">
        <x:v>15</x:v>
      </x:c>
      <x:c r="M9" s="28" t="str">
        <x:v>EXAMPLE002 SDTM</x:v>
      </x:c>
      <x:c r="N9" s="28" t="str">
        <x:v>EXAMPLE002 SDTM: t900ae.sas; EXAMPLE002 SDTM: t900cm.sas; EXAMPLE002 SDTM: t900co.sas; EXAMPLE002 SDTM: t900cv.sas; EXAMPLE002 SDTM: t900dd.sas</x:v>
      </x:c>
      <x:c r="O9" s="28" t="inlineStr">
        <x:is>
          <x:t xml:space="preserve">Conflicted</x:t>
        </x:is>
      </x:c>
      <x:c r="P9" s="28" t="str">
        <x:v>17 paired programs retain at least one active UTIL_RESIZE_XPT call.</x:v>
      </x:c>
      <x:c r="Q9" s="28" t="inlineStr">
        <x:is>
          <x:t xml:space="preserve">Medium</x:t>
        </x:is>
      </x:c>
      <x:c r="R9" s="28" t="str">
        <x:v>EXAMPLE002 SDTM:R-EXAMPLE002-SDTM-008</x:v>
      </x:c>
    </x:row>
    <x:row r="10" ht="78" customHeight="1">
      <x:c r="A10" s="28" t="inlineStr">
        <x:is>
          <x:t xml:space="preserve">R-007</x:t>
        </x:is>
      </x:c>
      <x:c r="B10" s="28" t="inlineStr">
        <x:is>
          <x:t xml:space="preserve">Disable legacy SETUPANL call</x:t>
        </x:is>
      </x:c>
      <x:c r="C10" s="28" t="inlineStr">
        <x:is>
          <x:t xml:space="preserve">Platform</x:t>
        </x:is>
      </x:c>
      <x:c r="D10" s="28" t="inlineStr">
        <x:is>
          <x:t xml:space="preserve">SCE utility macro dependency</x:t>
        </x:is>
      </x:c>
      <x:c r="E10" s="28" t="str">
        <x:v>Comments out the standalone `%setupanl;` startup call. Apply only under the consolidated conditions and variants supported by the evidence from EXAMPLE001 ADaM, EXAMPLE001 TLF.</x:v>
      </x:c>
      <x:c r="F10" s="28" t="inlineStr">
        <x:is>
          <x:t xml:space="preserve">%setupanl;</x:t>
        </x:is>
      </x:c>
      <x:c r="G10" s="28" t="inlineStr">
        <x:is>
          <x:t xml:space="preserve">/*%setupanl;*/</x:t>
        </x:is>
      </x:c>
      <x:c r="H10" s="28" t="inlineStr">
        <x:is>
          <x:t xml:space="preserve">Do not apply blindly to adpr-like cases that explicitly include setupanl.sas. | Exact standalone %setupanl; statement in paired source; l-death.sas is an observed conflicting outcome.</x:t>
        </x:is>
      </x:c>
      <x:c r="I10" s="28" t="inlineStr">
        <x:is>
          <x:t xml:space="preserve">Contextual</x:t>
        </x:is>
      </x:c>
      <x:c r="J10" s="28" t="inlineStr">
        <x:is>
          <x:t xml:space="preserve">High</x:t>
        </x:is>
      </x:c>
      <x:c r="K10" s="28" t="n">
        <x:v>26</x:v>
      </x:c>
      <x:c r="L10" s="28" t="n">
        <x:v>26</x:v>
      </x:c>
      <x:c r="M10" s="28" t="str">
        <x:v>EXAMPLE001 ADaM; EXAMPLE001 TLF</x:v>
      </x:c>
      <x:c r="N10" s="28" t="str">
        <x:v>EXAMPLE001 ADaM: adae.sas; EXAMPLE001 ADaM: adbase.sas; EXAMPLE001 ADaM: adcm.sas; EXAMPLE001 ADaM: adex.sas; EXAMPLE001 ADaM: adexsum.sas</x:v>
      </x:c>
      <x:c r="O10" s="28" t="inlineStr">
        <x:is>
          <x:t xml:space="preserve">Conflicted</x:t>
        </x:is>
      </x:c>
      <x:c r="P10" s="28" t="inlineStr">
        <x:is>
          <x:t xml:space="preserve">l-death.sas removes %setupanl; as part of a different MA_Testing startup replacement.</x:t>
        </x:is>
      </x:c>
      <x:c r="Q10" s="28" t="inlineStr">
        <x:is>
          <x:t xml:space="preserve">Medium</x:t>
        </x:is>
      </x:c>
      <x:c r="R10" s="28" t="str">
        <x:v>EXAMPLE001 ADaM:R-EXAMPLE001-ADAM-002; EXAMPLE001 TLF:R-EXAMPLE001-TLF-002</x:v>
      </x:c>
    </x:row>
    <x:row r="11" ht="78" customHeight="1">
      <x:c r="A11" s="28" t="inlineStr">
        <x:is>
          <x:t xml:space="preserve">R-008</x:t>
        </x:is>
      </x:c>
      <x:c r="B11" s="28" t="inlineStr">
        <x:is>
          <x:t xml:space="preserve">Include MHEADFOOT macro source</x:t>
        </x:is>
      </x:c>
      <x:c r="C11" s="28" t="inlineStr">
        <x:is>
          <x:t xml:space="preserve">Platform</x:t>
        </x:is>
      </x:c>
      <x:c r="D11" s="28" t="inlineStr">
        <x:is>
          <x:t xml:space="preserve">SCE utility macro dependency</x:t>
        </x:is>
      </x:c>
      <x:c r="E11" s="28" t="inlineStr">
        <x:is>
          <x:t xml:space="preserve">Adds an explicit include of `mheadfoot.sas` from the SCE Macros area. Apply to the migrated TLF report and listing programs that previously depended on the legacy environment to supply this macro.</x:t>
        </x:is>
      </x:c>
      <x:c r="F11" s="28" t="n"/>
      <x:c r="G11" s="28" t="inlineStr">
        <x:is>
          <x:t xml:space="preserve">%include "&amp;targetStudy.\Dev\Programs\Macros\mheadfoot.sas";</x:t>
        </x:is>
      </x:c>
      <x:c r="H11" s="28" t="inlineStr">
        <x:is>
          <x:t xml:space="preserve">TLF report/listing program startup; observed in every paired report/listing program.</x:t>
        </x:is>
      </x:c>
      <x:c r="I11" s="28" t="inlineStr">
        <x:is>
          <x:t xml:space="preserve">Contextual</x:t>
        </x:is>
      </x:c>
      <x:c r="J11" s="28" t="inlineStr">
        <x:is>
          <x:t xml:space="preserve">Medium</x:t>
        </x:is>
      </x:c>
      <x:c r="K11" s="28" t="n">
        <x:v>20</x:v>
      </x:c>
      <x:c r="L11" s="28" t="n">
        <x:v>20</x:v>
      </x:c>
      <x:c r="M11" s="28" t="str">
        <x:v>EXAMPLE001 TLF</x:v>
      </x:c>
      <x:c r="N11" s="28" t="str">
        <x:v>EXAMPLE001 TLF: l-ae-drug-withd.sas; EXAMPLE001 TLF: l-ae.sas; EXAMPLE001 TLF: l-death.sas; EXAMPLE001 TLF: l-lb-liver.sas; EXAMPLE001 TLF: t-ae-aesi-overall-saf.sas</x:v>
      </x:c>
      <x:c r="O11" s="28" t="inlineStr">
        <x:is>
          <x:t xml:space="preserve">None</x:t>
        </x:is>
      </x:c>
      <x:c r="P11" s="28" t="n"/>
      <x:c r="Q11" s="28" t="inlineStr">
        <x:is>
          <x:t xml:space="preserve">High</x:t>
        </x:is>
      </x:c>
      <x:c r="R11" s="28" t="str">
        <x:v>EXAMPLE001 TLF:R-EXAMPLE001-TLF-006</x:v>
      </x:c>
    </x:row>
    <x:row r="12" ht="78" customHeight="1">
      <x:c r="A12" s="28" t="inlineStr">
        <x:is>
          <x:t xml:space="preserve">R-009</x:t>
        </x:is>
      </x:c>
      <x:c r="B12" s="28" t="inlineStr">
        <x:is>
          <x:t xml:space="preserve">Include SCE TLF autoexec</x:t>
        </x:is>
      </x:c>
      <x:c r="C12" s="28" t="inlineStr">
        <x:is>
          <x:t xml:space="preserve">Both</x:t>
        </x:is>
      </x:c>
      <x:c r="D12" s="28" t="inlineStr">
        <x:is>
          <x:t xml:space="preserve">Autoexec dependency and path syntax</x:t>
        </x:is>
      </x:c>
      <x:c r="E12" s="28" t="str">
        <x:v>Adds the SCE TLF autoexec include, with production and MA_Testing target variants. Apply only under the consolidated conditions and variants supported by the evidence from EXAMPLE001 TLF.</x:v>
      </x:c>
      <x:c r="F12" s="28" t="n"/>
      <x:c r="G12" s="28" t="inlineStr">
        <x:is>
          <x:t xml:space="preserve">Variant 1: %include "&amp;targetStudy.\Dev\Programs\TLF\autoexec.sas";
Variant 2: %include "&amp;targetStudy.\Dev\Programs\TLF\MA_Testing\autoexec.sas";</x:t>
        </x:is>
      </x:c>
      <x:c r="H12" s="28" t="str">
        <x:v>Target program is outside MA_Testing; MA_Testing programs use R-EXAMPLE001-TLF-007 instead. | After-state program is under MA_Testing.</x:v>
      </x:c>
      <x:c r="I12" s="28" t="inlineStr">
        <x:is>
          <x:t xml:space="preserve">Contextual</x:t>
        </x:is>
      </x:c>
      <x:c r="J12" s="28" t="inlineStr">
        <x:is>
          <x:t xml:space="preserve">High</x:t>
        </x:is>
      </x:c>
      <x:c r="K12" s="28" t="n">
        <x:v>20</x:v>
      </x:c>
      <x:c r="L12" s="28" t="n">
        <x:v>20</x:v>
      </x:c>
      <x:c r="M12" s="28" t="str">
        <x:v>EXAMPLE001 TLF</x:v>
      </x:c>
      <x:c r="N12" s="28" t="str">
        <x:v>EXAMPLE001 TLF: l-ae-drug-withd.sas; EXAMPLE001 TLF: l-ae.sas; EXAMPLE001 TLF: l-lb-liver.sas; EXAMPLE001 TLF: t-ae-aesi-overall-saf.sas; EXAMPLE001 TLF: t-ae-overall-saf.sas</x:v>
      </x:c>
      <x:c r="O12" s="28" t="inlineStr">
        <x:is>
          <x:t xml:space="preserve">None</x:t>
        </x:is>
      </x:c>
      <x:c r="P12" s="28" t="n"/>
      <x:c r="Q12" s="28" t="inlineStr">
        <x:is>
          <x:t xml:space="preserve">High</x:t>
        </x:is>
      </x:c>
      <x:c r="R12" s="28" t="str">
        <x:v>EXAMPLE001 TLF:R-EXAMPLE001-TLF-005; EXAMPLE001 TLF:R-EXAMPLE001-TLF-007</x:v>
      </x:c>
    </x:row>
    <x:row r="13" ht="78" customHeight="1">
      <x:c r="A13" s="28" t="inlineStr">
        <x:is>
          <x:t xml:space="preserve">R-010</x:t>
        </x:is>
      </x:c>
      <x:c r="B13" s="28" t="inlineStr">
        <x:is>
          <x:t xml:space="preserve">Build SCE core library bootstrap</x:t>
        </x:is>
      </x:c>
      <x:c r="C13" s="28" t="inlineStr">
        <x:is>
          <x:t xml:space="preserve">Both</x:t>
        </x:is>
      </x:c>
      <x:c r="D13" s="28" t="inlineStr">
        <x:is>
          <x:t xml:space="preserve">LIBNAME and environment bootstrap</x:t>
        </x:is>
      </x:c>
      <x:c r="E13" s="28" t="str">
        <x:v>Maps core Clinical, SDTM, ADaM, External Data, production, and related library roots to SCE-managed locations. Apply only under the consolidated conditions and variants supported by the evidence from EXAMPLE001 SDTM, EXAMPLE001 TLF, EXAMPLE002 SDTM.</x:v>
      </x:c>
      <x:c r="F13" s="28" t="str">
        <x:v>Variant 1: 		libname source "/placeholder/cdrdata/EXAMPLE001/prod/data/edc/20260131_SYNTH";*"../../../../data/edc/routine";
		libname raw    "/placeholder/cdrdata/EXAMPLE001/prod/data/edc/20260131_SYNTH";*"../../../../data/edc/routine";
Variant 2: 		libname SDTM   "../../../../data/sdtm/20260131_SYNTH/primary";
Variant 3: 		libname prod "../../../../data/sdtm/20260131_SYNTH/primary";
(+3 additional source variant(s); see Evidence/Crosswalk)</x:v>
      </x:c>
      <x:c r="G13" s="28" t="inlineStr">
        <x:is>
          <x:t xml:space="preserve">Variant 1: 		libname source "&amp;targetData\Clinical";
		libname raw    "&amp;targetData\Clinical";
Variant 2: 		libname SDTM   "&amp;targetData\SDTM";
Variant 3: 		libname prod "&amp;targetData\SDTM";
(+4 additional source variant(s); see Evidence/Crosswalk)</x:t>
        </x:is>
      </x:c>
      <x:c r="H13" s="28" t="inlineStr">
        <x:is>
          <x:t xml:space="preserve">autoexec.sas SOURCE/RAW assignment block | Active SDTM LIBNAME in autoexec.sas | Active PROD LIBNAME in autoexec.sas | Insertion in autoexec.sas after SDTM LIBNAME | (+3 more; see Crosswalk)</x:t>
        </x:is>
      </x:c>
      <x:c r="I13" s="28" t="inlineStr">
        <x:is>
          <x:t xml:space="preserve">Contextual</x:t>
        </x:is>
      </x:c>
      <x:c r="J13" s="28" t="inlineStr">
        <x:is>
          <x:t xml:space="preserve">High</x:t>
        </x:is>
      </x:c>
      <x:c r="K13" s="28" t="n">
        <x:v>20</x:v>
      </x:c>
      <x:c r="L13" s="28" t="n">
        <x:v>16</x:v>
      </x:c>
      <x:c r="M13" s="28" t="str">
        <x:v>EXAMPLE001 SDTM; EXAMPLE001 TLF; EXAMPLE002 SDTM</x:v>
      </x:c>
      <x:c r="N13" s="28" t="str">
        <x:v>EXAMPLE001 SDTM: autoexec.sas; EXAMPLE001 TLF: autoexec.sas; EXAMPLE002 SDTM: t900ae.sas; EXAMPLE002 SDTM: t900cm.sas; EXAMPLE002 SDTM: t900co.sas</x:v>
      </x:c>
      <x:c r="O13" s="28" t="inlineStr">
        <x:is>
          <x:t xml:space="preserve">None</x:t>
        </x:is>
      </x:c>
      <x:c r="P13" s="28" t="n"/>
      <x:c r="Q13" s="28" t="inlineStr">
        <x:is>
          <x:t xml:space="preserve">Medium</x:t>
        </x:is>
      </x:c>
      <x:c r="R13" s="28" t="str">
        <x:v>EXAMPLE001 SDTM:C-EXAMPLE001-SDTM-001; EXAMPLE001 SDTM:C-EXAMPLE001-SDTM-002; EXAMPLE001 SDTM:C-EXAMPLE001-SDTM-005; EXAMPLE001 SDTM:C-EXAMPLE001-SDTM-006; EXAMPLE001 TLF:C-EXAMPLE001-TLF-002; EXAMPLE002 SDTM:R-EXAMPLE002-SDTM-002; EXAMPLE001 SDTM:C-EXAMPLE001-SDTM-008</x:v>
      </x:c>
    </x:row>
    <x:row r="14" ht="78" customHeight="1">
      <x:c r="A14" s="28" t="inlineStr">
        <x:is>
          <x:t xml:space="preserve">R-011</x:t>
        </x:is>
      </x:c>
      <x:c r="B14" s="28" t="inlineStr">
        <x:is>
          <x:t xml:space="preserve">Disable legacy TLF autoexec</x:t>
        </x:is>
      </x:c>
      <x:c r="C14" s="28" t="inlineStr">
        <x:is>
          <x:t xml:space="preserve">Platform</x:t>
        </x:is>
      </x:c>
      <x:c r="D14" s="28" t="inlineStr">
        <x:is>
          <x:t xml:space="preserve">Autoexec dependency</x:t>
        </x:is>
      </x:c>
      <x:c r="E14" s="28" t="inlineStr">
        <x:is>
          <x:t xml:space="preserve">Comments out the active relative include of the legacy TLF autoexec. Apply where the CDR program contains the exact legacy include and the validated SCE source retains it as a commented line; `l-death.sas` removes it instead.</x:t>
        </x:is>
      </x:c>
      <x:c r="F14" s="28" t="inlineStr">
        <x:is>
          <x:t xml:space="preserve">%include "../../../../programs/tlf/20260131_SYNTH/primary/autoexec.sas";</x:t>
        </x:is>
      </x:c>
      <x:c r="G14" s="28" t="inlineStr">
        <x:is>
          <x:t xml:space="preserve">/*%include "../../../../programs/tlf/20260131_SYNTH/primary/autoexec.sas";*/</x:t>
        </x:is>
      </x:c>
      <x:c r="H14" s="28" t="inlineStr">
        <x:is>
          <x:t xml:space="preserve">Exact active legacy TLF autoexec include; l-death.sas is an observed conflicting outcome.</x:t>
        </x:is>
      </x:c>
      <x:c r="I14" s="28" t="inlineStr">
        <x:is>
          <x:t xml:space="preserve">Contextual</x:t>
        </x:is>
      </x:c>
      <x:c r="J14" s="28" t="inlineStr">
        <x:is>
          <x:t xml:space="preserve">High</x:t>
        </x:is>
      </x:c>
      <x:c r="K14" s="28" t="n">
        <x:v>19</x:v>
      </x:c>
      <x:c r="L14" s="28" t="n">
        <x:v>19</x:v>
      </x:c>
      <x:c r="M14" s="28" t="str">
        <x:v>EXAMPLE001 TLF</x:v>
      </x:c>
      <x:c r="N14" s="28" t="str">
        <x:v>EXAMPLE001 TLF: l-ae-drug-withd.sas; EXAMPLE001 TLF: l-ae.sas; EXAMPLE001 TLF: l-lb-liver.sas; EXAMPLE001 TLF: t-ae-aesi-overall-saf.sas; EXAMPLE001 TLF: t-ae-overall-saf.sas</x:v>
      </x:c>
      <x:c r="O14" s="28" t="inlineStr">
        <x:is>
          <x:t xml:space="preserve">Conflicted</x:t>
        </x:is>
      </x:c>
      <x:c r="P14" s="28" t="inlineStr">
        <x:is>
          <x:t xml:space="preserve">l-death.sas removes the legacy include while replacing the entire startup block.</x:t>
        </x:is>
      </x:c>
      <x:c r="Q14" s="28" t="inlineStr">
        <x:is>
          <x:t xml:space="preserve">Medium</x:t>
        </x:is>
      </x:c>
      <x:c r="R14" s="28" t="str">
        <x:v>EXAMPLE001 TLF:R-EXAMPLE001-TLF-003</x:v>
      </x:c>
    </x:row>
    <x:row r="15" ht="78" customHeight="1">
      <x:c r="A15" s="28" t="inlineStr">
        <x:is>
          <x:t xml:space="preserve">R-012</x:t>
        </x:is>
      </x:c>
      <x:c r="B15" s="28" t="inlineStr">
        <x:is>
          <x:t xml:space="preserve">Include SETUPANL macro source</x:t>
        </x:is>
      </x:c>
      <x:c r="C15" s="28" t="inlineStr">
        <x:is>
          <x:t xml:space="preserve">Platform</x:t>
        </x:is>
      </x:c>
      <x:c r="D15" s="28" t="inlineStr">
        <x:is>
          <x:t xml:space="preserve">SCE utility macro dependency</x:t>
        </x:is>
      </x:c>
      <x:c r="E15" s="28" t="str">
        <x:v>Adds an explicit include of the SCE `setupanl.sas` macro source. Apply only under the consolidated conditions and variants supported by the evidence from EXAMPLE001 ADaM, EXAMPLE001 TLF.</x:v>
      </x:c>
      <x:c r="F15" s="28" t="inlineStr">
        <x:is>
          <x:t xml:space="preserve">%setupanl;</x:t>
        </x:is>
      </x:c>
      <x:c r="G15" s="28" t="inlineStr">
        <x:is>
          <x:t xml:space="preserve">%include "&amp;targetStudy.\Dev\Programs\Macros\setupanl.sas";</x:t>
        </x:is>
      </x:c>
      <x:c r="H15" s="28" t="inlineStr">
        <x:is>
          <x:t xml:space="preserve">Observed only in adpr.sas. | Insert in the startup block after legacy calls are disabled; no source-text condition distinguishes the two observed omissions.</x:t>
        </x:is>
      </x:c>
      <x:c r="I15" s="28" t="inlineStr">
        <x:is>
          <x:t xml:space="preserve">Contextual</x:t>
        </x:is>
      </x:c>
      <x:c r="J15" s="28" t="inlineStr">
        <x:is>
          <x:t xml:space="preserve">High</x:t>
        </x:is>
      </x:c>
      <x:c r="K15" s="28" t="n">
        <x:v>18</x:v>
      </x:c>
      <x:c r="L15" s="28" t="n">
        <x:v>18</x:v>
      </x:c>
      <x:c r="M15" s="28" t="str">
        <x:v>EXAMPLE001 ADaM; EXAMPLE001 TLF</x:v>
      </x:c>
      <x:c r="N15" s="28" t="str">
        <x:v>EXAMPLE001 ADaM: adpr.sas; EXAMPLE001 TLF: l-lb-liver.sas; EXAMPLE001 TLF: t-ae-aesi-overall-saf.sas; EXAMPLE001 TLF: t-ae-overall-saf.sas; EXAMPLE001 TLF: t-ae-teae-soc-pt.sas</x:v>
      </x:c>
      <x:c r="O15" s="28" t="inlineStr">
        <x:is>
          <x:t xml:space="preserve">Conflicted</x:t>
        </x:is>
      </x:c>
      <x:c r="P15" s="28" t="inlineStr">
        <x:is>
          <x:t xml:space="preserve">l-ae.sas; l-ae-drug-withd.sas</x:t>
        </x:is>
      </x:c>
      <x:c r="Q15" s="28" t="inlineStr">
        <x:is>
          <x:t xml:space="preserve">Medium</x:t>
        </x:is>
      </x:c>
      <x:c r="R15" s="28" t="str">
        <x:v>EXAMPLE001 ADaM:C-EXAMPLE001-ADAM-001; EXAMPLE001 TLF:R-EXAMPLE001-TLF-004</x:v>
      </x:c>
    </x:row>
    <x:row r="16" ht="78" customHeight="1">
      <x:c r="A16" s="28" t="inlineStr">
        <x:is>
          <x:t xml:space="preserve">R-013</x:t>
        </x:is>
      </x:c>
      <x:c r="B16" s="28" t="str">
        <x:v>Add ADaM UTIL_GETDATA libref</x:v>
      </x:c>
      <x:c r="C16" s="28" t="inlineStr">
        <x:is>
          <x:t xml:space="preserve">Platform</x:t>
        </x:is>
      </x:c>
      <x:c r="D16" s="28" t="inlineStr">
        <x:is>
          <x:t xml:space="preserve">LIBNAME/data-layer assignment</x:t>
        </x:is>
      </x:c>
      <x:c r="E16" s="28" t="str">
        <x:v>Adds an explicit ADaM libref to `%util_getdata` calls that previously relied on default library resolution. Apply only under the consolidated conditions and variants supported by the evidence from EXAMPLE002 ADaM, EXAMPLE002 TLF.</x:v>
      </x:c>
      <x:c r="F16" s="28" t="inlineStr">
        <x:is>
          <x:t xml:space="preserve">Variant 1: %util_getdata(&lt;ADAM_DATASET&gt;[, existing options]);
Variant 2: %util_getdata(&lt;ADAM_DATASET(S)&gt;[, existing options]);</x:t>
        </x:is>
      </x:c>
      <x:c r="G16" s="28" t="inlineStr">
        <x:is>
          <x:t xml:space="preserve">Variant 1: %util_getdata(&lt;ADAM_DATASET&gt;, libref={ADAM_LIBREF}[, existing options]);
Variant 2: %util_getdata(&lt;ADAM_DATASET(S)&gt;, libref=ADaM[, existing options]);</x:t>
        </x:is>
      </x:c>
      <x:c r="H16" s="28" t="inlineStr">
        <x:is>
          <x:t xml:space="preserve">Do not use for SDTM members; separate any added SORT= behavior as a logic finding. | Referenced members are ADaM datasets and the target program belongs to the validated rerouted subset.</x:t>
        </x:is>
      </x:c>
      <x:c r="I16" s="28" t="inlineStr">
        <x:is>
          <x:t xml:space="preserve">Contextual</x:t>
        </x:is>
      </x:c>
      <x:c r="J16" s="28" t="inlineStr">
        <x:is>
          <x:t xml:space="preserve">High</x:t>
        </x:is>
      </x:c>
      <x:c r="K16" s="28" t="n">
        <x:v>14</x:v>
      </x:c>
      <x:c r="L16" s="28" t="n">
        <x:v>11</x:v>
      </x:c>
      <x:c r="M16" s="28" t="str">
        <x:v>EXAMPLE002 ADaM; EXAMPLE002 TLF</x:v>
      </x:c>
      <x:c r="N16" s="28" t="str">
        <x:v>EXAMPLE002 ADaM: u900addv.sas; EXAMPLE002 ADaM: u900adef.sas; EXAMPLE002 ADaM: u900adis.sas; EXAMPLE002 ADaM: u900admh.sas; EXAMPLE002 ADaM: u900adpc.sas</x:v>
      </x:c>
      <x:c r="O16" s="28" t="inlineStr">
        <x:is>
          <x:t xml:space="preserve">Conflicted</x:t>
        </x:is>
      </x:c>
      <x:c r="P16" s="28" t="inlineStr">
        <x:is>
          <x:t xml:space="preserve">u900adrs.sas also adds SORT=USUBJID and ENGINE=V9; after libref capitalization also varies. | 21 comparable bare ADaM reads across 15 paired programs remain unchanged.</x:t>
        </x:is>
      </x:c>
      <x:c r="Q16" s="28" t="inlineStr">
        <x:is>
          <x:t xml:space="preserve">Medium</x:t>
        </x:is>
      </x:c>
      <x:c r="R16" s="28" t="str">
        <x:v>EXAMPLE002 ADaM:R-EXAMPLE002-ADAM-003; EXAMPLE002 TLF:R-EXAMPLE002-TLF-003</x:v>
      </x:c>
    </x:row>
    <x:row r="17" ht="78" customHeight="1">
      <x:c r="A17" s="28" t="inlineStr">
        <x:is>
          <x:t xml:space="preserve">R-014</x:t>
        </x:is>
      </x:c>
      <x:c r="B17" s="28" t="inlineStr">
        <x:is>
          <x:t xml:space="preserve">Assign PADAM from SCEDATA</x:t>
        </x:is>
      </x:c>
      <x:c r="C17" s="28" t="inlineStr">
        <x:is>
          <x:t xml:space="preserve">Platform</x:t>
        </x:is>
      </x:c>
      <x:c r="D17" s="28" t="inlineStr">
        <x:is>
          <x:t xml:space="preserve">LIBNAME data-layer assignment</x:t>
        </x:is>
      </x:c>
      <x:c r="E17" s="28" t="inlineStr">
        <x:is>
          <x:t xml:space="preserve">Adds `libname padam "&amp;targetData.\ADaM";` so the PADAM library is assigned from the SCE data-root macro. Apply in the startup/bootstrap section before code that writes or reads through PADAM.</x:t>
        </x:is>
      </x:c>
      <x:c r="F17" s="28" t="inlineStr">
        <x:is>
          <x:t xml:space="preserve">[no corresponding executable line]</x:t>
        </x:is>
      </x:c>
      <x:c r="G17" s="28" t="inlineStr">
        <x:is>
          <x:t xml:space="preserve">libname padam "&amp;targetData.\ADaM";</x:t>
        </x:is>
      </x:c>
      <x:c r="H17" s="28" t="inlineStr">
        <x:is>
          <x:t xml:space="preserve">Insert before PADAM is first required.</x:t>
        </x:is>
      </x:c>
      <x:c r="I17" s="28" t="inlineStr">
        <x:is>
          <x:t xml:space="preserve">Contextual</x:t>
        </x:is>
      </x:c>
      <x:c r="J17" s="28" t="inlineStr">
        <x:is>
          <x:t xml:space="preserve">High</x:t>
        </x:is>
      </x:c>
      <x:c r="K17" s="28" t="n">
        <x:v>8</x:v>
      </x:c>
      <x:c r="L17" s="28" t="n">
        <x:v>8</x:v>
      </x:c>
      <x:c r="M17" s="28" t="str">
        <x:v>EXAMPLE001 ADaM</x:v>
      </x:c>
      <x:c r="N17" s="28" t="str">
        <x:v>EXAMPLE001 ADaM: adae.sas; EXAMPLE001 ADaM: adbase.sas; EXAMPLE001 ADaM: adcm.sas; EXAMPLE001 ADaM: adex.sas; EXAMPLE001 ADaM: adexsum.sas</x:v>
      </x:c>
      <x:c r="O17" s="28" t="inlineStr">
        <x:is>
          <x:t xml:space="preserve">None</x:t>
        </x:is>
      </x:c>
      <x:c r="P17" s="28" t="n"/>
      <x:c r="Q17" s="28" t="inlineStr">
        <x:is>
          <x:t xml:space="preserve">High</x:t>
        </x:is>
      </x:c>
      <x:c r="R17" s="28" t="str">
        <x:v>EXAMPLE001 ADaM:R-EXAMPLE001-ADAM-005</x:v>
      </x:c>
    </x:row>
    <x:row r="18" ht="78" customHeight="1">
      <x:c r="A18" s="28" t="inlineStr">
        <x:is>
          <x:t xml:space="preserve">R-015</x:t>
        </x:is>
      </x:c>
      <x:c r="B18" s="28" t="inlineStr">
        <x:is>
          <x:t xml:space="preserve">Include MTRIM macro source</x:t>
        </x:is>
      </x:c>
      <x:c r="C18" s="28" t="inlineStr">
        <x:is>
          <x:t xml:space="preserve">Platform</x:t>
        </x:is>
      </x:c>
      <x:c r="D18" s="28" t="inlineStr">
        <x:is>
          <x:t xml:space="preserve">SCE utility macro dependency</x:t>
        </x:is>
      </x:c>
      <x:c r="E18" s="28" t="inlineStr">
        <x:is>
          <x:t xml:space="preserve">Adds `%include "&amp;targetStudy.\Dev\Programs\Macros\mtrim.sas";` to make the MTRIM macro source explicit in the SCE program. Apply in the startup/bootstrap section when the program uses the shared MTRIM dependency.</x:t>
        </x:is>
      </x:c>
      <x:c r="F18" s="28" t="inlineStr">
        <x:is>
          <x:t xml:space="preserve">[no corresponding executable line]</x:t>
        </x:is>
      </x:c>
      <x:c r="G18" s="28" t="inlineStr">
        <x:is>
          <x:t xml:space="preserve">%include "&amp;targetStudy.\Dev\Programs\Macros\mtrim.sas";</x:t>
        </x:is>
      </x:c>
      <x:c r="H18" s="28" t="inlineStr">
        <x:is>
          <x:t xml:space="preserve">Insert in the startup/bootstrap section.</x:t>
        </x:is>
      </x:c>
      <x:c r="I18" s="28" t="inlineStr">
        <x:is>
          <x:t xml:space="preserve">Contextual</x:t>
        </x:is>
      </x:c>
      <x:c r="J18" s="28" t="inlineStr">
        <x:is>
          <x:t xml:space="preserve">High</x:t>
        </x:is>
      </x:c>
      <x:c r="K18" s="28" t="n">
        <x:v>8</x:v>
      </x:c>
      <x:c r="L18" s="28" t="n">
        <x:v>8</x:v>
      </x:c>
      <x:c r="M18" s="28" t="str">
        <x:v>EXAMPLE001 ADaM</x:v>
      </x:c>
      <x:c r="N18" s="28" t="str">
        <x:v>EXAMPLE001 ADaM: adae.sas; EXAMPLE001 ADaM: adbase.sas; EXAMPLE001 ADaM: adcm.sas; EXAMPLE001 ADaM: adex.sas; EXAMPLE001 ADaM: adexsum.sas</x:v>
      </x:c>
      <x:c r="O18" s="28" t="inlineStr">
        <x:is>
          <x:t xml:space="preserve">None</x:t>
        </x:is>
      </x:c>
      <x:c r="P18" s="28" t="n"/>
      <x:c r="Q18" s="28" t="inlineStr">
        <x:is>
          <x:t xml:space="preserve">High</x:t>
        </x:is>
      </x:c>
      <x:c r="R18" s="28" t="str">
        <x:v>EXAMPLE001 ADaM:R-EXAMPLE001-ADAM-004</x:v>
      </x:c>
    </x:row>
    <x:row r="19" ht="78" customHeight="1">
      <x:c r="A19" s="28" t="inlineStr">
        <x:is>
          <x:t xml:space="preserve">R-016</x:t>
        </x:is>
      </x:c>
      <x:c r="B19" s="28" t="inlineStr">
        <x:is>
          <x:t xml:space="preserve">Redirect ADaM XPT export</x:t>
        </x:is>
      </x:c>
      <x:c r="C19" s="28" t="inlineStr">
        <x:is>
          <x:t xml:space="preserve">Both</x:t>
        </x:is>
      </x:c>
      <x:c r="D19" s="28" t="inlineStr">
        <x:is>
          <x:t xml:space="preserve">Deliverable location and export handling</x:t>
        </x:is>
      </x:c>
      <x:c r="E19" s="28" t="str">
        <x:v>Redirects ADaM XPT export paths from the legacy relative location to the SCE study data location. Apply only under the consolidated conditions and variants supported by the evidence from EXAMPLE001 ADaM.</x:v>
      </x:c>
      <x:c r="F19" s="28" t="inlineStr">
        <x:is>
          <x:t xml:space="preserve">Variant 1: libname trans xport "../../../../data/adam/20260131_SYNTH/primary/{DATASET_OR_TLFKEY}.xpt"; ... proc copy in=PADAM out=trans; ... run;
Variant 2: libname trans xport "../../../../data/adam/20260131_SYNTH/primary/&amp;tlfkey..xpt";</x:t>
        </x:is>
      </x:c>
      <x:c r="G19" s="28" t="inlineStr">
        <x:is>
          <x:t xml:space="preserve">Variant 1: %let tlfkey={DATASET}; ... libname trans xport "&amp;targetStudy.\Dev\Data\ADAM\&amp;tlfkey..xpt"; ... proc copy in=padam out=trans; ... run; ... libname trans clear;
Variant 2: libname trans xport "&amp;targetStudy.\Dev\Data\ADaM\&amp;tlfkey..xpt";</x:t>
        </x:is>
      </x:c>
      <x:c r="H19" s="28" t="inlineStr">
        <x:is>
          <x:t xml:space="preserve">Use only for the seven observed rebuilt export blocks; preserve exact ADAM/ADaM case found in the target convention. | Observed only in adpr.sas.</x:t>
        </x:is>
      </x:c>
      <x:c r="I19" s="28" t="inlineStr">
        <x:is>
          <x:t xml:space="preserve">Contextual</x:t>
        </x:is>
      </x:c>
      <x:c r="J19" s="28" t="inlineStr">
        <x:is>
          <x:t xml:space="preserve">High</x:t>
        </x:is>
      </x:c>
      <x:c r="K19" s="28" t="n">
        <x:v>8</x:v>
      </x:c>
      <x:c r="L19" s="28" t="n">
        <x:v>8</x:v>
      </x:c>
      <x:c r="M19" s="28" t="str">
        <x:v>EXAMPLE001 ADaM</x:v>
      </x:c>
      <x:c r="N19" s="28" t="str">
        <x:v>EXAMPLE001 ADaM: adae.sas; EXAMPLE001 ADaM: adbase.sas; EXAMPLE001 ADaM: adcm.sas; EXAMPLE001 ADaM: adex.sas; EXAMPLE001 ADaM: adexsum.sas</x:v>
      </x:c>
      <x:c r="O19" s="28" t="inlineStr">
        <x:is>
          <x:t xml:space="preserve">Conflicted</x:t>
        </x:is>
      </x:c>
      <x:c r="P19" s="28" t="n"/>
      <x:c r="Q19" s="28" t="inlineStr">
        <x:is>
          <x:t xml:space="preserve">Medium</x:t>
        </x:is>
      </x:c>
      <x:c r="R19" s="28" t="str">
        <x:v>EXAMPLE001 ADaM:R-EXAMPLE001-ADAM-007; EXAMPLE001 ADaM:C-EXAMPLE001-ADAM-002</x:v>
      </x:c>
    </x:row>
    <x:row r="20" ht="78" customHeight="1">
      <x:c r="A20" s="28" t="inlineStr">
        <x:is>
          <x:t xml:space="preserve">R-017</x:t>
        </x:is>
      </x:c>
      <x:c r="B20" s="28" t="inlineStr">
        <x:is>
          <x:t xml:space="preserve">Relocate workbook inputs to SCE</x:t>
        </x:is>
      </x:c>
      <x:c r="C20" s="28" t="inlineStr">
        <x:is>
          <x:t xml:space="preserve">Both</x:t>
        </x:is>
      </x:c>
      <x:c r="D20" s="28" t="inlineStr">
        <x:is>
          <x:t xml:space="preserve">Study document/data access</x:t>
        </x:is>
      </x:c>
      <x:c r="E20" s="28" t="str">
        <x:v>Moves study workbook and specification inputs from legacy raw/program paths to SCE study document locations. Apply only under the consolidated conditions and variants supported by the evidence from EXAMPLE001 SDTM, EXAMPLE002 ADaM, EXAMPLE002 SDTM.</x:v>
      </x:c>
      <x:c r="F20" s="28" t="str">
        <x:v>Variant 1: 		%let tdpath=%str("../../../../programs/sdtm/20260131_SYNTH/documents/EXAMPLE001 SDTM Specs_v1.0.xlsx");
Variant 2: proc import out=spec datafile="../../../../programs/sdtm/documents/EXAMPLE001 SDTM Specs_v1.0.xlsx" dbms=xlsx replace;
Variant 3: //placeholder/sasdata/projects/&amp;client/&amp;projectect/&amp;study/final/rawdata/&amp;&lt;FILE_MACRO&gt;..xlsx
(+2 additional source variant(s); see Evidence/Crosswalk)</x:v>
      </x:c>
      <x:c r="G20" s="28" t="str">
        <x:v>Variant 1: 		%let tdpath=%str("&amp;targetStudy.\Documents\EXAMPLE001 SDTM Specs_v1.0.xlsx");
Variant 2: proc import out=spec datafile="&amp;targetStudy.\Documents\EXAMPLE001 SDTM Specs_v1.0.xlsx" dbms=xlsx replace;
Variant 3: &amp;targetStudy.\Docs\&amp;&lt;FILE_MACRO&gt;..xlsx
(+2 additional source variant(s); see Evidence/Crosswalk)</x:v>
      </x:c>
      <x:c r="H20" s="28" t="inlineStr">
        <x:is>
          <x:t xml:space="preserve">TDPATH assignment in autoexec.sas | PROC IMPORT OUT=SPEC in autoexec.sas | Only the document root changes; retain the existing workbook macro variable and PROC IMPORT options. | Protocol-deviation workbook import. | (+1 more; see Crosswalk)</x:t>
        </x:is>
      </x:c>
      <x:c r="I20" s="28" t="inlineStr">
        <x:is>
          <x:t xml:space="preserve">Contextual</x:t>
        </x:is>
      </x:c>
      <x:c r="J20" s="28" t="inlineStr">
        <x:is>
          <x:t xml:space="preserve">High</x:t>
        </x:is>
      </x:c>
      <x:c r="K20" s="28" t="n">
        <x:v>8</x:v>
      </x:c>
      <x:c r="L20" s="28" t="n">
        <x:v>5</x:v>
      </x:c>
      <x:c r="M20" s="28" t="str">
        <x:v>EXAMPLE001 SDTM; EXAMPLE002 ADaM; EXAMPLE002 SDTM</x:v>
      </x:c>
      <x:c r="N20" s="28" t="str">
        <x:v>EXAMPLE001 SDTM: autoexec.sas; EXAMPLE002 ADaM: u900adcm.sas; EXAMPLE002 ADaM: u900adsl.sas; EXAMPLE002 SDTM: t900dv.sas; EXAMPLE002 SDTM: t900lb.sas</x:v>
      </x:c>
      <x:c r="O20" s="28" t="inlineStr">
        <x:is>
          <x:t xml:space="preserve">None</x:t>
        </x:is>
      </x:c>
      <x:c r="P20" s="28" t="n"/>
      <x:c r="Q20" s="28" t="inlineStr">
        <x:is>
          <x:t xml:space="preserve">Medium</x:t>
        </x:is>
      </x:c>
      <x:c r="R20" s="28" t="str">
        <x:v>EXAMPLE001 SDTM:C-EXAMPLE001-SDTM-007; EXAMPLE001 SDTM:C-EXAMPLE001-SDTM-009; EXAMPLE002 ADaM:R-EXAMPLE002-ADAM-006; EXAMPLE002 SDTM:C-EXAMPLE002-SDTM-002; EXAMPLE002 SDTM:C-EXAMPLE002-SDTM-003</x:v>
      </x:c>
    </x:row>
    <x:row r="21" ht="78" customHeight="1">
      <x:c r="A21" s="28" t="inlineStr">
        <x:is>
          <x:t xml:space="preserve">R-018</x:t>
        </x:is>
      </x:c>
      <x:c r="B21" s="28" t="inlineStr">
        <x:is>
          <x:t xml:space="preserve">Disable selected XPT output</x:t>
        </x:is>
      </x:c>
      <x:c r="C21" s="28" t="inlineStr">
        <x:is>
          <x:t xml:space="preserve">Platform</x:t>
        </x:is>
      </x:c>
      <x:c r="D21" s="28" t="inlineStr">
        <x:is>
          <x:t xml:space="preserve">Output and deliverable handling</x:t>
        </x:is>
      </x:c>
      <x:c r="E21" s="28" t="inlineStr">
        <x:is>
          <x:t xml:space="preserve">Comments out selected `%util_cvtds(...)` transport-output calls in the validated SCE programs. Apply only to the demonstrated output blocks because many paired programs retain active UTIL_CVTDS calls.</x:t>
        </x:is>
      </x:c>
      <x:c r="F21" s="28" t="inlineStr">
        <x:is>
          <x:t xml:space="preserve">%util_cvtds(...);</x:t>
        </x:is>
      </x:c>
      <x:c r="G21" s="28" t="inlineStr">
        <x:is>
          <x:t xml:space="preserve">*%util_cvtds(...);</x:t>
        </x:is>
      </x:c>
      <x:c r="H21" s="28" t="inlineStr">
        <x:is>
          <x:t xml:space="preserve">Only validated transport-output calls, not all UTIL_CVTDS uses.</x:t>
        </x:is>
      </x:c>
      <x:c r="I21" s="28" t="inlineStr">
        <x:is>
          <x:t xml:space="preserve">Contextual</x:t>
        </x:is>
      </x:c>
      <x:c r="J21" s="28" t="inlineStr">
        <x:is>
          <x:t xml:space="preserve">High</x:t>
        </x:is>
      </x:c>
      <x:c r="K21" s="28" t="n">
        <x:v>8</x:v>
      </x:c>
      <x:c r="L21" s="28" t="n">
        <x:v>4</x:v>
      </x:c>
      <x:c r="M21" s="28" t="str">
        <x:v>EXAMPLE002 SDTM</x:v>
      </x:c>
      <x:c r="N21" s="28" t="str">
        <x:v>EXAMPLE002 SDTM: t900dm.sas; EXAMPLE002 SDTM: t900ds.sas; EXAMPLE002 SDTM: t900ie.sas; EXAMPLE002 SDTM: t900lb.sas</x:v>
      </x:c>
      <x:c r="O21" s="28" t="inlineStr">
        <x:is>
          <x:t xml:space="preserve">Conflicted</x:t>
        </x:is>
      </x:c>
      <x:c r="P21" s="28" t="inlineStr">
        <x:is>
          <x:t xml:space="preserve">32 paired programs retain active UTIL_CVTDS calls.</x:t>
        </x:is>
      </x:c>
      <x:c r="Q21" s="28" t="inlineStr">
        <x:is>
          <x:t xml:space="preserve">Medium</x:t>
        </x:is>
      </x:c>
      <x:c r="R21" s="28" t="str">
        <x:v>EXAMPLE002 SDTM:R-EXAMPLE002-SDTM-009</x:v>
      </x:c>
    </x:row>
    <x:row r="22" ht="78" customHeight="1">
      <x:c r="A22" s="28" t="inlineStr">
        <x:is>
          <x:t xml:space="preserve">R-019</x:t>
        </x:is>
      </x:c>
      <x:c r="B22" s="28" t="inlineStr">
        <x:is>
          <x:t xml:space="preserve">Use SCE rescreen dataset</x:t>
        </x:is>
      </x:c>
      <x:c r="C22" s="28" t="inlineStr">
        <x:is>
          <x:t xml:space="preserve">Platform</x:t>
        </x:is>
      </x:c>
      <x:c r="D22" s="28" t="inlineStr">
        <x:is>
          <x:t xml:space="preserve">External data access</x:t>
        </x:is>
      </x:c>
      <x:c r="E22" s="28" t="inlineStr">
        <x:is>
          <x:t xml:space="preserve">Replaces the RESCREEN Excel PROC IMPORT with a DATA step reading the SCE `Ext.rescreen` dataset. Apply when the CDR program imports `&amp;rescreen.`; type-conversion changes to subject or site identifiers are separate Manual logic findings.</x:t>
        </x:is>
      </x:c>
      <x:c r="F22" s="28" t="inlineStr">
        <x:is>
          <x:t xml:space="preserve">proc import datafile="&amp;rescreen." ... run;</x:t>
        </x:is>
      </x:c>
      <x:c r="G22" s="28" t="inlineStr">
        <x:is>
          <x:t xml:space="preserve">data rescr; set Ext.rescreen...;</x:t>
        </x:is>
      </x:c>
      <x:c r="H22" s="28" t="inlineStr">
        <x:is>
          <x:t xml:space="preserve">CDR source contains the `&amp;rescreen.` PROC IMPORT block.</x:t>
        </x:is>
      </x:c>
      <x:c r="I22" s="28" t="inlineStr">
        <x:is>
          <x:t xml:space="preserve">Contextual</x:t>
        </x:is>
      </x:c>
      <x:c r="J22" s="28" t="inlineStr">
        <x:is>
          <x:t xml:space="preserve">High</x:t>
        </x:is>
      </x:c>
      <x:c r="K22" s="28" t="n">
        <x:v>7</x:v>
      </x:c>
      <x:c r="L22" s="28" t="n">
        <x:v>7</x:v>
      </x:c>
      <x:c r="M22" s="28" t="str">
        <x:v>EXAMPLE002 SDTM</x:v>
      </x:c>
      <x:c r="N22" s="28" t="str">
        <x:v>EXAMPLE002 SDTM: t900dm.sas; EXAMPLE002 SDTM: t900ds.sas; EXAMPLE002 SDTM: t900ie.sas; EXAMPLE002 SDTM: t900lb.sas; EXAMPLE002 SDTM: t900mb.sas</x:v>
      </x:c>
      <x:c r="O22" s="28" t="inlineStr">
        <x:is>
          <x:t xml:space="preserve">None</x:t>
        </x:is>
      </x:c>
      <x:c r="P22" s="28" t="n"/>
      <x:c r="Q22" s="28" t="inlineStr">
        <x:is>
          <x:t xml:space="preserve">High</x:t>
        </x:is>
      </x:c>
      <x:c r="R22" s="28" t="str">
        <x:v>EXAMPLE002 SDTM:R-EXAMPLE002-SDTM-003</x:v>
      </x:c>
    </x:row>
    <x:row r="23" ht="78" customHeight="1">
      <x:c r="A23" s="28" t="inlineStr">
        <x:is>
          <x:t xml:space="preserve">R-020</x:t>
        </x:is>
      </x:c>
      <x:c r="B23" s="28" t="inlineStr">
        <x:is>
          <x:t xml:space="preserve">Disable ADAM_SPEC metadata block</x:t>
        </x:is>
      </x:c>
      <x:c r="C23" s="28" t="inlineStr">
        <x:is>
          <x:t xml:space="preserve">Platform</x:t>
        </x:is>
      </x:c>
      <x:c r="D23" s="28" t="inlineStr">
        <x:is>
          <x:t xml:space="preserve">Program metadata dependency</x:t>
        </x:is>
      </x:c>
      <x:c r="E23" s="28" t="inlineStr">
        <x:is>
          <x:t xml:space="preserve">Comments out the legacy `%adam_spec` call and associated `%put` lines that expose its generated macro variables. Apply to the post-build metadata block when those statements are active in CDR and disabled in SCE.</x:t>
        </x:is>
      </x:c>
      <x:c r="F23" s="28" t="inlineStr">
        <x:is>
          <x:t xml:space="preserve">%adam_spec(sheet=&amp;tlfkey); ... %put &amp;keepvar.; ... %put &amp;labvar.;</x:t>
        </x:is>
      </x:c>
      <x:c r="G23" s="28" t="inlineStr">
        <x:is>
          <x:t xml:space="preserve">/*%adam_spec(sheet=&amp;tlfkey);*/ ... /*%put &amp;keepvar.;*/ ... /*%put &amp;labvar.;*/</x:t>
        </x:is>
      </x:c>
      <x:c r="H23" s="28" t="inlineStr">
        <x:is>
          <x:t xml:space="preserve">Treat the block as contextual because the intervening attribute macro-variable line differs by program.</x:t>
        </x:is>
      </x:c>
      <x:c r="I23" s="28" t="inlineStr">
        <x:is>
          <x:t xml:space="preserve">Contextual</x:t>
        </x:is>
      </x:c>
      <x:c r="J23" s="28" t="inlineStr">
        <x:is>
          <x:t xml:space="preserve">Medium</x:t>
        </x:is>
      </x:c>
      <x:c r="K23" s="28" t="n">
        <x:v>6</x:v>
      </x:c>
      <x:c r="L23" s="28" t="n">
        <x:v>6</x:v>
      </x:c>
      <x:c r="M23" s="28" t="str">
        <x:v>EXAMPLE001 ADaM</x:v>
      </x:c>
      <x:c r="N23" s="28" t="str">
        <x:v>EXAMPLE001 ADaM: adae.sas; EXAMPLE001 ADaM: adbase.sas; EXAMPLE001 ADaM: adcm.sas; EXAMPLE001 ADaM: adlb.sas; EXAMPLE001 ADaM: adpr.sas</x:v>
      </x:c>
      <x:c r="O23" s="28" t="inlineStr">
        <x:is>
          <x:t xml:space="preserve">None</x:t>
        </x:is>
      </x:c>
      <x:c r="P23" s="28" t="n"/>
      <x:c r="Q23" s="28" t="inlineStr">
        <x:is>
          <x:t xml:space="preserve">High</x:t>
        </x:is>
      </x:c>
      <x:c r="R23" s="28" t="str">
        <x:v>EXAMPLE001 ADaM:R-EXAMPLE001-ADAM-006</x:v>
      </x:c>
    </x:row>
    <x:row r="24" ht="78" customHeight="1">
      <x:c r="A24" s="28" t="inlineStr">
        <x:is>
          <x:t xml:space="preserve">R-021</x:t>
        </x:is>
      </x:c>
      <x:c r="B24" s="28" t="inlineStr">
        <x:is>
          <x:t xml:space="preserve">Normalize DATA libref case</x:t>
        </x:is>
      </x:c>
      <x:c r="C24" s="28" t="inlineStr">
        <x:is>
          <x:t xml:space="preserve">Unclear</x:t>
        </x:is>
      </x:c>
      <x:c r="D24" s="28" t="inlineStr">
        <x:is>
          <x:t xml:space="preserve">LIBNAME reference spelling</x:t>
        </x:is>
      </x:c>
      <x:c r="E24" s="28" t="inlineStr">
        <x:is>
          <x:t xml:space="preserve">Changes the literal `libref=data` spelling to `libref=Data` while leaving the surrounding macro call unchanged. Apply only where exact textual normalization is required; the files do not establish an OS or platform reason for the case choice.</x:t>
        </x:is>
      </x:c>
      <x:c r="F24" s="28" t="inlineStr">
        <x:is>
          <x:t xml:space="preserve">libref=data</x:t>
        </x:is>
      </x:c>
      <x:c r="G24" s="28" t="inlineStr">
        <x:is>
          <x:t xml:space="preserve">libref=Data</x:t>
        </x:is>
      </x:c>
      <x:c r="H24" s="28" t="str">
        <x:v>Exact token replacement inside an otherwise unchanged UTIL_FETCHDATA/UTIL_GETDATA call.</x:v>
      </x:c>
      <x:c r="I24" s="28" t="inlineStr">
        <x:is>
          <x:t xml:space="preserve">Deterministic</x:t>
        </x:is>
      </x:c>
      <x:c r="J24" s="28" t="inlineStr">
        <x:is>
          <x:t xml:space="preserve">Medium</x:t>
        </x:is>
      </x:c>
      <x:c r="K24" s="28" t="n">
        <x:v>6</x:v>
      </x:c>
      <x:c r="L24" s="28" t="n">
        <x:v>6</x:v>
      </x:c>
      <x:c r="M24" s="28" t="str">
        <x:v>EXAMPLE002 SDTM</x:v>
      </x:c>
      <x:c r="N24" s="28" t="str">
        <x:v>EXAMPLE002 SDTM: t900dm.sas; EXAMPLE002 SDTM: t900ec.sas; EXAMPLE002 SDTM: t900ex.sas; EXAMPLE002 SDTM: t900pr.sas; EXAMPLE002 SDTM: t900qs.sas</x:v>
      </x:c>
      <x:c r="O24" s="28" t="inlineStr">
        <x:is>
          <x:t xml:space="preserve">None</x:t>
        </x:is>
      </x:c>
      <x:c r="P24" s="28" t="n"/>
      <x:c r="Q24" s="28" t="inlineStr">
        <x:is>
          <x:t xml:space="preserve">Medium</x:t>
        </x:is>
      </x:c>
      <x:c r="R24" s="28" t="str">
        <x:v>EXAMPLE002 SDTM:R-EXAMPLE002-SDTM-011</x:v>
      </x:c>
    </x:row>
    <x:row r="25" ht="78" customHeight="1">
      <x:c r="A25" s="28" t="inlineStr">
        <x:is>
          <x:t xml:space="preserve">R-022</x:t>
        </x:is>
      </x:c>
      <x:c r="B25" s="28" t="str">
        <x:v>Make SDTM UTIL_GETDATA source explicit</x:v>
      </x:c>
      <x:c r="C25" s="28" t="inlineStr">
        <x:is>
          <x:t xml:space="preserve">Platform</x:t>
        </x:is>
      </x:c>
      <x:c r="D25" s="28" t="inlineStr">
        <x:is>
          <x:t xml:space="preserve">LIBNAME/data-layer assignment</x:t>
        </x:is>
      </x:c>
      <x:c r="E25" s="28" t="str">
        <x:v>Makes SDTM input resolution explicit by adding the SDTM/DATA libref and, where demonstrated, required sort or engine options. Apply only under the consolidated conditions and variants supported by the evidence from EXAMPLE002 ADaM, EXAMPLE002 SDTM.</x:v>
      </x:c>
      <x:c r="F25" s="28" t="inlineStr">
        <x:is>
          <x:t xml:space="preserve">Variant 1: %util_getdata(&lt;SDTM_DATASET&gt;,sort=...,engine=V9);
Variant 2: %util_getdata({DATASET});
Variant 3: %util_getdata(dm, libref=data, sort=usubjid[, engine=V9]);</x:t>
        </x:is>
      </x:c>
      <x:c r="G25" s="28" t="inlineStr">
        <x:is>
          <x:t xml:space="preserve">Variant 1: %util_getdata(&lt;SDTM_DATASET&gt;,libref=DATA,sort=...,engine=V9);
Variant 2: %util_getdata({DATASET}, libref={DATA_LIBREF}, sort=usubjid, engine=V9);
Variant 3: %util_getdata(dm, libref=SDTM, sort=usubjid, engine=V9);</x:t>
        </x:is>
      </x:c>
      <x:c r="H25" s="28" t="inlineStr">
        <x:is>
          <x:t xml:space="preserve">Observed only in u900addv.sas. | Input read requiring explicit native SDTM access; not general to every bare UTIL_GETDATA call. | DM input read in the demonstrated programs.</x:t>
        </x:is>
      </x:c>
      <x:c r="I25" s="28" t="inlineStr">
        <x:is>
          <x:t xml:space="preserve">Contextual</x:t>
        </x:is>
      </x:c>
      <x:c r="J25" s="28" t="inlineStr">
        <x:is>
          <x:t xml:space="preserve">High</x:t>
        </x:is>
      </x:c>
      <x:c r="K25" s="28" t="n">
        <x:v>6</x:v>
      </x:c>
      <x:c r="L25" s="28" t="n">
        <x:v>5</x:v>
      </x:c>
      <x:c r="M25" s="28" t="str">
        <x:v>EXAMPLE002 ADaM; EXAMPLE002 SDTM</x:v>
      </x:c>
      <x:c r="N25" s="28" t="str">
        <x:v>EXAMPLE002 ADaM: u900addv.sas; EXAMPLE002 SDTM: t900mb.sas; EXAMPLE002 SDTM: t900rs.sas; EXAMPLE002 SDTM: t900mh.sas; EXAMPLE002 SDTM: t900pr.sas</x:v>
      </x:c>
      <x:c r="O25" s="28" t="inlineStr">
        <x:is>
          <x:t xml:space="preserve">Conflicted</x:t>
        </x:is>
      </x:c>
      <x:c r="P25" s="28" t="inlineStr">
        <x:is>
          <x:t xml:space="preserve">Many other bare UTIL_GETDATA calls remain unchanged; source-text condition is not visible.</x:t>
        </x:is>
      </x:c>
      <x:c r="Q25" s="28" t="inlineStr">
        <x:is>
          <x:t xml:space="preserve">Low</x:t>
        </x:is>
      </x:c>
      <x:c r="R25" s="28" t="str">
        <x:v>EXAMPLE002 ADaM:C-EXAMPLE002-ADAM-001; EXAMPLE002 SDTM:R-EXAMPLE002-SDTM-012; EXAMPLE002 SDTM:R-EXAMPLE002-SDTM-013</x:v>
      </x:c>
    </x:row>
    <x:row r="26" ht="78" customHeight="1">
      <x:c r="A26" s="28" t="inlineStr">
        <x:is>
          <x:t xml:space="preserve">R-023</x:t>
        </x:is>
      </x:c>
      <x:c r="B26" s="28" t="str">
        <x:v>Route VENDORPK sources through Ext</x:v>
      </x:c>
      <x:c r="C26" s="28" t="inlineStr">
        <x:is>
          <x:t xml:space="preserve">Platform</x:t>
        </x:is>
      </x:c>
      <x:c r="D26" s="28" t="inlineStr">
        <x:is>
          <x:t xml:space="preserve">External data access</x:t>
        </x:is>
      </x:c>
      <x:c r="E26" s="28" t="str">
        <x:v>Replaces file-based VENDORPK source reads with named datasets in the SCE External Data library. Apply only under the consolidated conditions and variants supported by the evidence from EXAMPLE002 SDTM.</x:v>
      </x:c>
      <x:c r="F26" s="28" t="inlineStr">
        <x:is>
          <x:t xml:space="preserve">Variant 1: infile "/data/projects/.../&amp;&amp;ins..csv" ... input ...;
Variant 2: proc import datafile="//placeholder/sasdata/projects/&amp;client/&amp;projectect/&amp;study/final/rawdata/&amp;nab_ext_dataset..csv"
Variant 3: 	infile "/data/projects/&amp;client/&amp;projectect/&amp;study/final/rawdata/&amp;haha_ext_dataset..csv"
(+1 additional source variant(s); see Evidence/Crosswalk)</x:t>
        </x:is>
      </x:c>
      <x:c r="G26" s="28" t="str">
        <x:v>Variant 1: set &amp;ins.; with &amp;ins mapped to ext.vendorpk_pk_*
Variant 2:     set Ext.Vendorpk_nab_final;
Variant 3:     set Ext.Vendorpk_haha;
(+1 additional source variant(s); see Evidence/Crosswalk)</x:v>
      </x:c>
      <x:c r="H26" s="28" t="str">
        <x:v>PC PK vendor-input macro. | IS VENDORPK vendor source. | SV VENDORPK vendor-input section.</x:v>
      </x:c>
      <x:c r="I26" s="28" t="inlineStr">
        <x:is>
          <x:t xml:space="preserve">Contextual</x:t>
        </x:is>
      </x:c>
      <x:c r="J26" s="28" t="inlineStr">
        <x:is>
          <x:t xml:space="preserve">High</x:t>
        </x:is>
      </x:c>
      <x:c r="K26" s="28" t="n">
        <x:v>4</x:v>
      </x:c>
      <x:c r="L26" s="28" t="n">
        <x:v>3</x:v>
      </x:c>
      <x:c r="M26" s="28" t="str">
        <x:v>EXAMPLE002 SDTM</x:v>
      </x:c>
      <x:c r="N26" s="28" t="str">
        <x:v>EXAMPLE002 SDTM: t900pc.sas; EXAMPLE002 SDTM: t900is.sas; EXAMPLE002 SDTM: t900sv.sas</x:v>
      </x:c>
      <x:c r="O26" s="28" t="inlineStr">
        <x:is>
          <x:t xml:space="preserve">None</x:t>
        </x:is>
      </x:c>
      <x:c r="P26" s="28" t="n"/>
      <x:c r="Q26" s="28" t="inlineStr">
        <x:is>
          <x:t xml:space="preserve">Medium</x:t>
        </x:is>
      </x:c>
      <x:c r="R26" s="28" t="str">
        <x:v>EXAMPLE002 SDTM:C-EXAMPLE002-SDTM-004; EXAMPLE002 SDTM:C-EXAMPLE002-SDTM-005; EXAMPLE002 SDTM:C-EXAMPLE002-SDTM-006; EXAMPLE002 SDTM:C-EXAMPLE002-SDTM-007</x:v>
      </x:c>
    </x:row>
    <x:row r="27" ht="78" customHeight="1">
      <x:c r="A27" s="28" t="inlineStr">
        <x:is>
          <x:t xml:space="preserve">R-024</x:t>
        </x:is>
      </x:c>
      <x:c r="B27" s="28" t="inlineStr">
        <x:is>
          <x:t xml:space="preserve">Disable selected SDTM QC</x:t>
        </x:is>
      </x:c>
      <x:c r="C27" s="28" t="inlineStr">
        <x:is>
          <x:t xml:space="preserve">Platform</x:t>
        </x:is>
      </x:c>
      <x:c r="D27" s="28" t="inlineStr">
        <x:is>
          <x:t xml:space="preserve">Validation and QC handling</x:t>
        </x:is>
      </x:c>
      <x:c r="E27" s="28" t="inlineStr">
        <x:is>
          <x:t xml:space="preserve">Comments out selected `%util_tscheck(...)` SDTM QC calls in the validated SCE source. Apply only to the demonstrated domains because other paired programs retain active QC calls.</x:t>
        </x:is>
      </x:c>
      <x:c r="F27" s="28" t="inlineStr">
        <x:is>
          <x:t xml:space="preserve">%util_tscheck(...);</x:t>
        </x:is>
      </x:c>
      <x:c r="G27" s="28" t="inlineStr">
        <x:is>
          <x:t xml:space="preserve">*%util_tscheck(...);</x:t>
        </x:is>
      </x:c>
      <x:c r="H27" s="28" t="inlineStr">
        <x:is>
          <x:t xml:space="preserve">Only validated QC calls that are explicitly disabled.</x:t>
        </x:is>
      </x:c>
      <x:c r="I27" s="28" t="inlineStr">
        <x:is>
          <x:t xml:space="preserve">Contextual</x:t>
        </x:is>
      </x:c>
      <x:c r="J27" s="28" t="inlineStr">
        <x:is>
          <x:t xml:space="preserve">Medium</x:t>
        </x:is>
      </x:c>
      <x:c r="K27" s="28" t="n">
        <x:v>3</x:v>
      </x:c>
      <x:c r="L27" s="28" t="n">
        <x:v>3</x:v>
      </x:c>
      <x:c r="M27" s="28" t="str">
        <x:v>EXAMPLE002 SDTM</x:v>
      </x:c>
      <x:c r="N27" s="28" t="str">
        <x:v>EXAMPLE002 SDTM: t900ae.sas; EXAMPLE002 SDTM: t900ie.sas; EXAMPLE002 SDTM: t900lb.sas</x:v>
      </x:c>
      <x:c r="O27" s="28" t="inlineStr">
        <x:is>
          <x:t xml:space="preserve">Conflicted</x:t>
        </x:is>
      </x:c>
      <x:c r="P27" s="28" t="inlineStr">
        <x:is>
          <x:t xml:space="preserve">27 paired programs retain active XTSCPCK1 calls.</x:t>
        </x:is>
      </x:c>
      <x:c r="Q27" s="28" t="inlineStr">
        <x:is>
          <x:t xml:space="preserve">Medium</x:t>
        </x:is>
      </x:c>
      <x:c r="R27" s="28" t="str">
        <x:v>EXAMPLE002 SDTM:R-EXAMPLE002-SDTM-010</x:v>
      </x:c>
    </x:row>
    <x:row r="28" ht="78" customHeight="1">
      <x:c r="A28" s="28" t="inlineStr">
        <x:is>
          <x:t xml:space="preserve">R-025</x:t>
        </x:is>
      </x:c>
      <x:c r="B28" s="28" t="str">
        <x:v>Route Vendorlab through Ext</x:v>
      </x:c>
      <x:c r="C28" s="28" t="inlineStr">
        <x:is>
          <x:t xml:space="preserve">Platform</x:t>
        </x:is>
      </x:c>
      <x:c r="D28" s="28" t="inlineStr">
        <x:is>
          <x:t xml:space="preserve">External data access</x:t>
        </x:is>
      </x:c>
      <x:c r="E28" s="28" t="str">
        <x:v>Replaces Vendorlab external-data macro references with the named `Vendorlab_lab` dataset through the SCE `Ext` library. Apply only where the validated SCE program reroutes the source; `t900mb.sas` disables the comparable source load instead.</x:v>
      </x:c>
      <x:c r="F28" s="28" t="str">
        <x:v>%util_fetchdata(&amp;cov_ext_dataset..., libref=rawdata, ...)</x:v>
      </x:c>
      <x:c r="G28" s="28" t="str">
        <x:v>%util_fetchdata(Vendorlab_lab, libref=Ext, ...)</x:v>
      </x:c>
      <x:c r="H28" s="28" t="str">
        <x:v>Vendorlab vendor source is retained and rerouted, not removed.</x:v>
      </x:c>
      <x:c r="I28" s="28" t="inlineStr">
        <x:is>
          <x:t xml:space="preserve">Contextual</x:t>
        </x:is>
      </x:c>
      <x:c r="J28" s="28" t="inlineStr">
        <x:is>
          <x:t xml:space="preserve">High</x:t>
        </x:is>
      </x:c>
      <x:c r="K28" s="28" t="n">
        <x:v>3</x:v>
      </x:c>
      <x:c r="L28" s="28" t="n">
        <x:v>3</x:v>
      </x:c>
      <x:c r="M28" s="28" t="str">
        <x:v>EXAMPLE002 SDTM</x:v>
      </x:c>
      <x:c r="N28" s="28" t="str">
        <x:v>EXAMPLE002 SDTM: t900dm.sas; EXAMPLE002 SDTM: t900lb.sas; EXAMPLE002 SDTM: t900sv.sas</x:v>
      </x:c>
      <x:c r="O28" s="28" t="inlineStr">
        <x:is>
          <x:t xml:space="preserve">Conflicted</x:t>
        </x:is>
      </x:c>
      <x:c r="P28" s="28" t="str">
        <x:v>t900mb.sas comments out the Vendorlab load instead of rerouting it.</x:v>
      </x:c>
      <x:c r="Q28" s="28" t="inlineStr">
        <x:is>
          <x:t xml:space="preserve">Medium</x:t>
        </x:is>
      </x:c>
      <x:c r="R28" s="28" t="str">
        <x:v>EXAMPLE002 SDTM:R-EXAMPLE002-SDTM-005</x:v>
      </x:c>
    </x:row>
    <x:row r="29" ht="78" customHeight="1">
      <x:c r="A29" s="28" t="inlineStr">
        <x:is>
          <x:t xml:space="preserve">R-026</x:t>
        </x:is>
      </x:c>
      <x:c r="B29" s="28" t="inlineStr">
        <x:is>
          <x:t xml:space="preserve">Redirect direct ADaM qualifier</x:t>
        </x:is>
      </x:c>
      <x:c r="C29" s="28" t="inlineStr">
        <x:is>
          <x:t xml:space="preserve">Platform</x:t>
        </x:is>
      </x:c>
      <x:c r="D29" s="28" t="inlineStr">
        <x:is>
          <x:t xml:space="preserve">LIBNAME/data-layer reference</x:t>
        </x:is>
      </x:c>
      <x:c r="E29" s="28" t="str">
        <x:v>Changes directly qualified ADaM dataset references from the generic DATA library to ADaM. Apply only under the consolidated conditions and variants supported by the evidence from EXAMPLE002 ADaM, EXAMPLE002 TLF.</x:v>
      </x:c>
      <x:c r="F29" s="28" t="inlineStr">
        <x:is>
          <x:t xml:space="preserve">Variant 1: proc contents data=data.adae;
Variant 2: data.&lt;ADAM_DATASET&gt;</x:t>
        </x:is>
      </x:c>
      <x:c r="G29" s="28" t="inlineStr">
        <x:is>
          <x:t xml:space="preserve">Variant 1: proc contents data=ADaM.adae;
Variant 2: adam.&lt;ADAM_DATASET&gt;</x:t>
        </x:is>
      </x:c>
      <x:c r="H29" s="28" t="inlineStr">
        <x:is>
          <x:t xml:space="preserve">Observed only in u900adae.sas. | Directly qualified ADaM dataset reference in l900ae03.sas-like code.</x:t>
        </x:is>
      </x:c>
      <x:c r="I29" s="28" t="inlineStr">
        <x:is>
          <x:t xml:space="preserve">Contextual</x:t>
        </x:is>
      </x:c>
      <x:c r="J29" s="28" t="inlineStr">
        <x:is>
          <x:t xml:space="preserve">High</x:t>
        </x:is>
      </x:c>
      <x:c r="K29" s="28" t="n">
        <x:v>3</x:v>
      </x:c>
      <x:c r="L29" s="28" t="n">
        <x:v>2</x:v>
      </x:c>
      <x:c r="M29" s="28" t="str">
        <x:v>EXAMPLE002 ADaM; EXAMPLE002 TLF</x:v>
      </x:c>
      <x:c r="N29" s="28" t="str">
        <x:v>EXAMPLE002 ADaM: u900adae.sas; EXAMPLE002 TLF: l900ae03.sas</x:v>
      </x:c>
      <x:c r="O29" s="28" t="inlineStr">
        <x:is>
          <x:t xml:space="preserve">None</x:t>
        </x:is>
      </x:c>
      <x:c r="P29" s="28" t="n"/>
      <x:c r="Q29" s="28" t="inlineStr">
        <x:is>
          <x:t xml:space="preserve">Medium</x:t>
        </x:is>
      </x:c>
      <x:c r="R29" s="28" t="str">
        <x:v>EXAMPLE002 ADaM:C-EXAMPLE002-ADAM-004; EXAMPLE002 TLF:C-EXAMPLE002-TLF-001</x:v>
      </x:c>
    </x:row>
    <x:row r="30" ht="78" customHeight="1">
      <x:c r="A30" s="28" t="inlineStr">
        <x:is>
          <x:t xml:space="preserve">R-027</x:t>
        </x:is>
      </x:c>
      <x:c r="B30" s="28" t="str">
        <x:v>Route Vendortreatment through Ext</x:v>
      </x:c>
      <x:c r="C30" s="28" t="inlineStr">
        <x:is>
          <x:t xml:space="preserve">Platform</x:t>
        </x:is>
      </x:c>
      <x:c r="D30" s="28" t="inlineStr">
        <x:is>
          <x:t xml:space="preserve">External data access</x:t>
        </x:is>
      </x:c>
      <x:c r="E30" s="28" t="str">
        <x:v>Replaces direct Vendortreatment treatment-code CSV reads with the SCE `ext.Vendortreatment_treatment_code` dataset. Apply to the demonstrated Vendortreatment treatment-code input blocks while retaining downstream derivations.</x:v>
      </x:c>
      <x:c r="F30" s="28" t="str">
        <x:v>infile "/data/projects/&amp;client/&amp;projectect/&amp;study/final/rawdata/&amp;vendortreatment_trt..csv"</x:v>
      </x:c>
      <x:c r="G30" s="28" t="str">
        <x:v>set ext.Vendortreatment_treatment_code;</x:v>
      </x:c>
      <x:c r="H30" s="28" t="str">
        <x:v>Vendortreatment treatment-code source block.</x:v>
      </x:c>
      <x:c r="I30" s="28" t="inlineStr">
        <x:is>
          <x:t xml:space="preserve">Contextual</x:t>
        </x:is>
      </x:c>
      <x:c r="J30" s="28" t="inlineStr">
        <x:is>
          <x:t xml:space="preserve">High</x:t>
        </x:is>
      </x:c>
      <x:c r="K30" s="28" t="n">
        <x:v>3</x:v>
      </x:c>
      <x:c r="L30" s="28" t="n">
        <x:v>2</x:v>
      </x:c>
      <x:c r="M30" s="28" t="str">
        <x:v>EXAMPLE002 SDTM</x:v>
      </x:c>
      <x:c r="N30" s="28" t="str">
        <x:v>EXAMPLE002 SDTM: t900dm.sas; EXAMPLE002 SDTM: t900se.sas</x:v>
      </x:c>
      <x:c r="O30" s="28" t="inlineStr">
        <x:is>
          <x:t xml:space="preserve">None</x:t>
        </x:is>
      </x:c>
      <x:c r="P30" s="28" t="n"/>
      <x:c r="Q30" s="28" t="inlineStr">
        <x:is>
          <x:t xml:space="preserve">High</x:t>
        </x:is>
      </x:c>
      <x:c r="R30" s="28" t="str">
        <x:v>EXAMPLE002 SDTM:R-EXAMPLE002-SDTM-004</x:v>
      </x:c>
    </x:row>
    <x:row r="31" ht="78" customHeight="1">
      <x:c r="A31" s="28" t="inlineStr">
        <x:is>
          <x:t xml:space="preserve">R-028</x:t>
        </x:is>
      </x:c>
      <x:c r="B31" s="28" t="inlineStr">
        <x:is>
          <x:t xml:space="preserve">Assign DATA to SCE SDTM</x:t>
        </x:is>
      </x:c>
      <x:c r="C31" s="28" t="inlineStr">
        <x:is>
          <x:t xml:space="preserve">Both</x:t>
        </x:is>
      </x:c>
      <x:c r="D31" s="28" t="inlineStr">
        <x:is>
          <x:t xml:space="preserve">LIBNAME data-layer assignment</x:t>
        </x:is>
      </x:c>
      <x:c r="E31" s="28" t="inlineStr">
        <x:is>
          <x:t xml:space="preserve">Adds a point-of-use `data` libref assignment to the SCE SDTM data root. Apply where a program without the full bootstrap block requires the DATA alias before a later SDTM read.</x:t>
        </x:is>
      </x:c>
      <x:c r="F31" s="28" t="inlineStr">
        <x:is>
          <x:t xml:space="preserve">[no corresponding executable line]</x:t>
        </x:is>
      </x:c>
      <x:c r="G31" s="28" t="inlineStr">
        <x:is>
          <x:t xml:space="preserve">libname data "&amp;targetData\SDTM";</x:t>
        </x:is>
      </x:c>
      <x:c r="H31" s="28" t="inlineStr">
        <x:is>
          <x:t xml:space="preserve">Program lacks the full startup LIBNAME block and requires DATA locally.</x:t>
        </x:is>
      </x:c>
      <x:c r="I31" s="28" t="inlineStr">
        <x:is>
          <x:t xml:space="preserve">Contextual</x:t>
        </x:is>
      </x:c>
      <x:c r="J31" s="28" t="inlineStr">
        <x:is>
          <x:t xml:space="preserve">High</x:t>
        </x:is>
      </x:c>
      <x:c r="K31" s="28" t="n">
        <x:v>2</x:v>
      </x:c>
      <x:c r="L31" s="28" t="n">
        <x:v>2</x:v>
      </x:c>
      <x:c r="M31" s="28" t="str">
        <x:v>EXAMPLE002 SDTM</x:v>
      </x:c>
      <x:c r="N31" s="28" t="str">
        <x:v>EXAMPLE002 SDTM: t900oe.sas; EXAMPLE002 SDTM: t900sv.sas</x:v>
      </x:c>
      <x:c r="O31" s="28" t="inlineStr">
        <x:is>
          <x:t xml:space="preserve">None</x:t>
        </x:is>
      </x:c>
      <x:c r="P31" s="28" t="n"/>
      <x:c r="Q31" s="28" t="inlineStr">
        <x:is>
          <x:t xml:space="preserve">High</x:t>
        </x:is>
      </x:c>
      <x:c r="R31" s="28" t="str">
        <x:v>EXAMPLE002 SDTM:R-EXAMPLE002-SDTM-014</x:v>
      </x:c>
    </x:row>
    <x:row r="32" ht="78" customHeight="1">
      <x:c r="A32" s="28" t="inlineStr">
        <x:is>
          <x:t xml:space="preserve">R-029</x:t>
        </x:is>
      </x:c>
      <x:c r="B32" s="28" t="inlineStr">
        <x:is>
          <x:t xml:space="preserve">Disable legacy SETUP driver</x:t>
        </x:is>
      </x:c>
      <x:c r="C32" s="28" t="inlineStr">
        <x:is>
          <x:t xml:space="preserve">Platform</x:t>
        </x:is>
      </x:c>
      <x:c r="D32" s="28" t="inlineStr">
        <x:is>
          <x:t xml:space="preserve">SCE utility macro dependency</x:t>
        </x:is>
      </x:c>
      <x:c r="E32" s="28" t="str">
        <x:v>Comments out the legacy `%setup;` driver call. Apply only under the consolidated conditions and variants supported by the evidence from EXAMPLE001 SDTM, EXAMPLE001 TLF.</x:v>
      </x:c>
      <x:c r="F32" s="28" t="inlineStr">
        <x:is>
          <x:t xml:space="preserve">%setup; </x:t>
        </x:is>
      </x:c>
      <x:c r="G32" s="28" t="inlineStr">
        <x:is>
          <x:t xml:space="preserve">/*%setup; */</x:t>
        </x:is>
      </x:c>
      <x:c r="H32" s="28" t="inlineStr">
        <x:is>
          <x:t xml:space="preserve">Active standalone %setup; in chk_log.sas | chk_log.sas startup driver.</x:t>
        </x:is>
      </x:c>
      <x:c r="I32" s="28" t="inlineStr">
        <x:is>
          <x:t xml:space="preserve">Contextual</x:t>
        </x:is>
      </x:c>
      <x:c r="J32" s="28" t="inlineStr">
        <x:is>
          <x:t xml:space="preserve">Medium</x:t>
        </x:is>
      </x:c>
      <x:c r="K32" s="28" t="n">
        <x:v>2</x:v>
      </x:c>
      <x:c r="L32" s="28" t="n">
        <x:v>2</x:v>
      </x:c>
      <x:c r="M32" s="28" t="str">
        <x:v>EXAMPLE001 SDTM; EXAMPLE001 TLF</x:v>
      </x:c>
      <x:c r="N32" s="28" t="str">
        <x:v>EXAMPLE001 SDTM: chk_log.sas; EXAMPLE001 TLF: chk_log.sas</x:v>
      </x:c>
      <x:c r="O32" s="28" t="inlineStr">
        <x:is>
          <x:t xml:space="preserve">None</x:t>
        </x:is>
      </x:c>
      <x:c r="P32" s="28" t="n"/>
      <x:c r="Q32" s="28" t="inlineStr">
        <x:is>
          <x:t xml:space="preserve">Low</x:t>
        </x:is>
      </x:c>
      <x:c r="R32" s="28" t="str">
        <x:v>EXAMPLE001 SDTM:C-EXAMPLE001-SDTM-011; EXAMPLE001 TLF:C-EXAMPLE001-TLF-006</x:v>
      </x:c>
    </x:row>
    <x:row r="33" ht="78" customHeight="1">
      <x:c r="A33" s="28" t="inlineStr">
        <x:is>
          <x:t xml:space="preserve">R-030</x:t>
        </x:is>
      </x:c>
      <x:c r="B33" s="28" t="inlineStr">
        <x:is>
          <x:t xml:space="preserve">Rebuild SCE log checker</x:t>
        </x:is>
      </x:c>
      <x:c r="C33" s="28" t="inlineStr">
        <x:is>
          <x:t xml:space="preserve">Both</x:t>
        </x:is>
      </x:c>
      <x:c r="D33" s="28" t="inlineStr">
        <x:is>
          <x:t xml:space="preserve">Log and list file handling</x:t>
        </x:is>
      </x:c>
      <x:c r="E33" s="28" t="str">
        <x:v>Replaces the legacy relative-path log checker with SCE macro includes and SCE program/output paths. Apply only under the consolidated conditions and variants supported by the evidence from EXAMPLE001 SDTM, EXAMPLE001 TLF.</x:v>
      </x:c>
      <x:c r="F33" s="28" t="inlineStr">
        <x:is>
          <x:t xml:space="preserve">Variant 1: proc printto file="../../../../programs/sdtm/20260131_SYNTH/primary/check_log_result_sdtm.lst";
%chk_log(path=../../../../programs/sdtm/20260131_SYNTH/primary);
run;
Variant 2: proc printto file="../../../../programs/tlf/20260131_SYNTH/primary/check_log_result_tlf.lst";
%chk_log(path=../../../../programs/tlf/20260131_SYNTH/primary);
run;</x:t>
        </x:is>
      </x:c>
      <x:c r="G33" s="28" t="inlineStr">
        <x:is>
          <x:t xml:space="preserve">Variant 1: /*proc printto file="../../../../programs/sdtm/20260131_SYNTH/primary/check_log_result_sdtm.lst";*/
/*%chk_log(path=../../../../programs/sdtm/20260131_SYNTH/primary);*/
/*run;*/
%include "&amp;targetStudy.\Dev\Programs\Macros\list_files.sas";
%include "&amp;targetStudy.\Dev\Programs\Macros\chk_log.sas";
%include "&amp;targetStudy.\Dev\Programs\SDTM\autoexec.sas";
    print="&amp;targetStudy.\Dev\Programs\SDTM\check_log_result_sdtm.lst";
run;
%chk_log(path=&amp;targetStudy.\Dev\Programs\SDTM);
proc printto;
run;
Variant 2: %include "&amp;targetStudy.\Dev\Programs\Macros\list_files.sas";
%include "&amp;targetStudy.\Dev\Programs\Macros\chk_log.sas";
proc printto
    print="&amp;targetStudy.\Dev\Programs\ADaM\check_log_result_TLF.lst";
run;
%chk_log(path=&amp;targetStudy.\Dev\Programs\TLF);
proc printto;
run;</x:t>
        </x:is>
      </x:c>
      <x:c r="H33" s="28" t="str">
        <x:v>Log-check execution block in chk_log.sas | chk_log.sas only; the SDTM autoexec include is accounted for separately by R-EXAMPLE001-TLF-008.</x:v>
      </x:c>
      <x:c r="I33" s="28" t="inlineStr">
        <x:is>
          <x:t xml:space="preserve">Contextual</x:t>
        </x:is>
      </x:c>
      <x:c r="J33" s="28" t="inlineStr">
        <x:is>
          <x:t xml:space="preserve">High</x:t>
        </x:is>
      </x:c>
      <x:c r="K33" s="28" t="n">
        <x:v>2</x:v>
      </x:c>
      <x:c r="L33" s="28" t="n">
        <x:v>2</x:v>
      </x:c>
      <x:c r="M33" s="28" t="str">
        <x:v>EXAMPLE001 SDTM; EXAMPLE001 TLF</x:v>
      </x:c>
      <x:c r="N33" s="28" t="str">
        <x:v>EXAMPLE001 SDTM: chk_log.sas; EXAMPLE001 TLF: chk_log.sas</x:v>
      </x:c>
      <x:c r="O33" s="28" t="inlineStr">
        <x:is>
          <x:t xml:space="preserve">None</x:t>
        </x:is>
      </x:c>
      <x:c r="P33" s="28" t="n"/>
      <x:c r="Q33" s="28" t="inlineStr">
        <x:is>
          <x:t xml:space="preserve">Low</x:t>
        </x:is>
      </x:c>
      <x:c r="R33" s="28" t="str">
        <x:v>EXAMPLE001 SDTM:C-EXAMPLE001-SDTM-012; EXAMPLE001 TLF:C-EXAMPLE001-TLF-007</x:v>
      </x:c>
    </x:row>
    <x:row r="34" ht="78" customHeight="1">
      <x:c r="A34" s="28" t="inlineStr">
        <x:is>
          <x:t xml:space="preserve">R-031</x:t>
        </x:is>
      </x:c>
      <x:c r="B34" s="28" t="str">
        <x:v>Resolve Vendorimaginga imaging source</x:v>
      </x:c>
      <x:c r="C34" s="28" t="inlineStr">
        <x:is>
          <x:t xml:space="preserve">Platform</x:t>
        </x:is>
      </x:c>
      <x:c r="D34" s="28" t="inlineStr">
        <x:is>
          <x:t xml:space="preserve">External data access</x:t>
        </x:is>
      </x:c>
      <x:c r="E34" s="28" t="str">
        <x:v>Replaces imaging vendor macro-variable sources with concrete Vendorimaginga imaging datasets in the SCE External Data layer. Apply only when the validated program retains the vendor source; `t900rs.sas` disables a comparable RS source instead.</x:v>
      </x:c>
      <x:c r="F34" s="28" t="inlineStr">
        <x:is>
          <x:t xml:space="preserve">%[xk]updata1(&amp;{DOMAIN}_ext_dataset..., libref=rawdata, ...);</x:t>
        </x:is>
      </x:c>
      <x:c r="G34" s="28" t="str">
        <x:v>%[xk]updata1(Vendorimaginga_imaging_{DOMAIN}, libref=Ext, ...);</x:v>
      </x:c>
      <x:c r="H34" s="28" t="str">
        <x:v>Vendorimaginga imaging source is retained and mapped to Ext.</x:v>
      </x:c>
      <x:c r="I34" s="28" t="inlineStr">
        <x:is>
          <x:t xml:space="preserve">Contextual</x:t>
        </x:is>
      </x:c>
      <x:c r="J34" s="28" t="inlineStr">
        <x:is>
          <x:t xml:space="preserve">High</x:t>
        </x:is>
      </x:c>
      <x:c r="K34" s="28" t="n">
        <x:v>2</x:v>
      </x:c>
      <x:c r="L34" s="28" t="n">
        <x:v>2</x:v>
      </x:c>
      <x:c r="M34" s="28" t="str">
        <x:v>EXAMPLE002 SDTM</x:v>
      </x:c>
      <x:c r="N34" s="28" t="str">
        <x:v>EXAMPLE002 SDTM: t900co.sas; EXAMPLE002 SDTM: t900sv.sas</x:v>
      </x:c>
      <x:c r="O34" s="28" t="inlineStr">
        <x:is>
          <x:t xml:space="preserve">Conflicted</x:t>
        </x:is>
      </x:c>
      <x:c r="P34" s="28" t="inlineStr">
        <x:is>
          <x:t xml:space="preserve">t900rs.sas disables its RS external source instead of resolving it.</x:t>
        </x:is>
      </x:c>
      <x:c r="Q34" s="28" t="inlineStr">
        <x:is>
          <x:t xml:space="preserve">Medium</x:t>
        </x:is>
      </x:c>
      <x:c r="R34" s="28" t="str">
        <x:v>EXAMPLE002 SDTM:R-EXAMPLE002-SDTM-015</x:v>
      </x:c>
    </x:row>
    <x:row r="35" ht="78" customHeight="1">
      <x:c r="A35" s="28" t="inlineStr">
        <x:is>
          <x:t xml:space="preserve">R-032</x:t>
        </x:is>
      </x:c>
      <x:c r="B35" s="28" t="inlineStr">
        <x:is>
          <x:t xml:space="preserve">Route ILD through Ext</x:t>
        </x:is>
      </x:c>
      <x:c r="C35" s="28" t="inlineStr">
        <x:is>
          <x:t xml:space="preserve">Platform</x:t>
        </x:is>
      </x:c>
      <x:c r="D35" s="28" t="inlineStr">
        <x:is>
          <x:t xml:space="preserve">External data access</x:t>
        </x:is>
      </x:c>
      <x:c r="E35" s="28" t="str">
        <x:v>Replaces direct ILD CSV import with an SCE External Data dataset. Apply only with a resolved ILD dataset mapping because the validated targets differ between `Ext.Vendorimaginga_ild` and `Ext.Vendorimagingb_ild`.</x:v>
      </x:c>
      <x:c r="F35" s="28" t="inlineStr">
        <x:is>
          <x:t xml:space="preserve">proc import datafile="...&amp;ild_ext_dataset..csv"</x:t>
        </x:is>
      </x:c>
      <x:c r="G35" s="28" t="inlineStr">
        <x:is>
          <x:t xml:space="preserve">set Ext.{ILD_DATASET};</x:t>
        </x:is>
      </x:c>
      <x:c r="H35" s="28" t="inlineStr">
        <x:is>
          <x:t xml:space="preserve">ILD external source; dataset mapping must be parameterized per program/vendor.</x:t>
        </x:is>
      </x:c>
      <x:c r="I35" s="28" t="inlineStr">
        <x:is>
          <x:t xml:space="preserve">Contextual</x:t>
        </x:is>
      </x:c>
      <x:c r="J35" s="28" t="inlineStr">
        <x:is>
          <x:t xml:space="preserve">High</x:t>
        </x:is>
      </x:c>
      <x:c r="K35" s="28" t="n">
        <x:v>2</x:v>
      </x:c>
      <x:c r="L35" s="28" t="n">
        <x:v>2</x:v>
      </x:c>
      <x:c r="M35" s="28" t="str">
        <x:v>EXAMPLE002 SDTM</x:v>
      </x:c>
      <x:c r="N35" s="28" t="str">
        <x:v>EXAMPLE002 SDTM: t900ae.sas; EXAMPLE002 SDTM: t900dd.sas</x:v>
      </x:c>
      <x:c r="O35" s="28" t="inlineStr">
        <x:is>
          <x:t xml:space="preserve">Conflicted</x:t>
        </x:is>
      </x:c>
      <x:c r="P35" s="28" t="str">
        <x:v>t900ae.sas uses Vendorimaginga_ild; t900dd.sas uses Vendorimagingb_ild.</x:v>
      </x:c>
      <x:c r="Q35" s="28" t="inlineStr">
        <x:is>
          <x:t xml:space="preserve">Medium</x:t>
        </x:is>
      </x:c>
      <x:c r="R35" s="28" t="str">
        <x:v>EXAMPLE002 SDTM:R-EXAMPLE002-SDTM-007</x:v>
      </x:c>
    </x:row>
    <x:row r="36" ht="78" customHeight="1">
      <x:c r="A36" s="28" t="inlineStr">
        <x:is>
          <x:t xml:space="preserve">R-033</x:t>
        </x:is>
      </x:c>
      <x:c r="B36" s="28" t="str">
        <x:v>Route VendorLabB through Ext</x:v>
      </x:c>
      <x:c r="C36" s="28" t="inlineStr">
        <x:is>
          <x:t xml:space="preserve">Platform</x:t>
        </x:is>
      </x:c>
      <x:c r="D36" s="28" t="inlineStr">
        <x:is>
          <x:t xml:space="preserve">External data access</x:t>
        </x:is>
      </x:c>
      <x:c r="E36" s="28" t="str">
        <x:v>Replaces VendorLabB external-data macro references with the named `VendorLabB_lab` dataset through the SCE `Ext` library. Apply to VendorLabB laboratory source loads matching the demonstrated pattern.</x:v>
      </x:c>
      <x:c r="F36" s="28" t="str">
        <x:v>%util_fetchdata(&amp;ico_ext_dataset..., libref=rawdata, ...)</x:v>
      </x:c>
      <x:c r="G36" s="28" t="str">
        <x:v>%util_fetchdata(VendorLabB_lab, libref=Ext, ...)</x:v>
      </x:c>
      <x:c r="H36" s="28" t="str">
        <x:v>VendorLabB laboratory vendor source load.</x:v>
      </x:c>
      <x:c r="I36" s="28" t="inlineStr">
        <x:is>
          <x:t xml:space="preserve">Contextual</x:t>
        </x:is>
      </x:c>
      <x:c r="J36" s="28" t="inlineStr">
        <x:is>
          <x:t xml:space="preserve">High</x:t>
        </x:is>
      </x:c>
      <x:c r="K36" s="28" t="n">
        <x:v>2</x:v>
      </x:c>
      <x:c r="L36" s="28" t="n">
        <x:v>2</x:v>
      </x:c>
      <x:c r="M36" s="28" t="str">
        <x:v>EXAMPLE002 SDTM</x:v>
      </x:c>
      <x:c r="N36" s="28" t="str">
        <x:v>EXAMPLE002 SDTM: t900lb.sas; EXAMPLE002 SDTM: t900sv.sas</x:v>
      </x:c>
      <x:c r="O36" s="28" t="inlineStr">
        <x:is>
          <x:t xml:space="preserve">None</x:t>
        </x:is>
      </x:c>
      <x:c r="P36" s="28" t="n"/>
      <x:c r="Q36" s="28" t="inlineStr">
        <x:is>
          <x:t xml:space="preserve">High</x:t>
        </x:is>
      </x:c>
      <x:c r="R36" s="28" t="str">
        <x:v>EXAMPLE002 SDTM:R-EXAMPLE002-SDTM-006</x:v>
      </x:c>
    </x:row>
  </x:sheetData>
  <x:mergeCells>
    <x:mergeCell ref="A2:R2"/>
    <x:mergeCell ref="A1:R1"/>
  </x:mergeCells>
  <x:conditionalFormatting sqref="J4:J36">
    <x:cfRule type="expression" dxfId="1" priority="1">
      <x:formula>J4="High"</x:formula>
    </x:cfRule>
    <x:cfRule type="expression" dxfId="3" priority="2">
      <x:formula>J4="Medium"</x:formula>
    </x:cfRule>
  </x:conditionalFormatting>
  <x:conditionalFormatting sqref="O4:O36">
    <x:cfRule type="expression" dxfId="4" priority="3">
      <x:formula>O4="Conflicted"</x:formula>
    </x:cfRule>
  </x:conditionalFormatting>
  <x:pageMargins left="0.7" right="0.7" top="0.75" bottom="0.75" header="0.3" footer="0.3"/>
  <x:tableParts count="1">
    <x:tablePart xmlns:r="http://schemas.openxmlformats.org/officeDocument/2006/relationships" r:id="Rd565fa95fd664022"/>
  </x:tableParts>
</x:worksheet>
</file>

<file path=xl/worksheets/sheet2.xml><?xml version="1.0" encoding="utf-8"?>
<x:worksheet xmlns:x="http://schemas.openxmlformats.org/spreadsheetml/2006/main">
  <x:sheetFormatPr baseColWidth="8" defaultRowHeight="15"/>
  <x:cols>
    <x:col min="1" max="1" width="12" customWidth="1"/>
    <x:col min="2" max="2" width="30" customWidth="1"/>
    <x:col min="3" max="3" width="12" customWidth="1"/>
    <x:col min="4" max="4" width="30" customWidth="1"/>
    <x:col min="5" max="5" width="52" customWidth="1"/>
    <x:col min="6" max="6" width="58" customWidth="1"/>
    <x:col min="7" max="7" width="58" customWidth="1"/>
    <x:col min="8" max="8" width="52" customWidth="1"/>
    <x:col min="9" max="9" width="16" customWidth="1"/>
    <x:col min="10" max="10" width="14" customWidth="1"/>
    <x:col min="11" max="11" width="12" customWidth="1"/>
    <x:col min="12" max="12" width="14" customWidth="1"/>
    <x:col min="13" max="13" width="28" customWidth="1"/>
    <x:col min="14" max="14" width="40" customWidth="1"/>
    <x:col min="15" max="15" width="18" customWidth="1"/>
    <x:col min="16" max="16" width="52" customWidth="1"/>
    <x:col min="17" max="17" width="12" customWidth="1"/>
    <x:col min="18" max="18" width="72" customWidth="1"/>
  </x:cols>
  <x:sheetData>
    <x:row r="1" ht="27" customHeight="1">
      <x:c r="A1" s="7" t="inlineStr">
        <x:is>
          <x:t xml:space="preserve">Consolidated Candidate Rules</x:t>
        </x:is>
      </x:c>
      <x:c r="B1" s="1" t="n"/>
      <x:c r="C1" s="1" t="n"/>
      <x:c r="D1" s="1" t="n"/>
      <x:c r="E1" s="1" t="n"/>
      <x:c r="F1" s="1" t="n"/>
      <x:c r="G1" s="1" t="n"/>
      <x:c r="H1" s="1" t="n"/>
      <x:c r="I1" s="1" t="n"/>
      <x:c r="J1" s="1" t="n"/>
      <x:c r="K1" s="1" t="n"/>
      <x:c r="L1" s="1" t="n"/>
      <x:c r="M1" s="1" t="n"/>
      <x:c r="N1" s="1" t="n"/>
      <x:c r="O1" s="1" t="n"/>
      <x:c r="P1" s="1" t="n"/>
      <x:c r="Q1" s="1" t="n"/>
      <x:c r="R1" s="1" t="n"/>
    </x:row>
    <x:row r="2" ht="34" customHeight="1">
      <x:c r="A2" s="15" t="inlineStr">
        <x:is>
          <x:t xml:space="preserve">These global findings remain below the combined evidence threshold for a reusable rule or require Manual review. IDs are global and independent of source batch.</x:t>
        </x:is>
      </x:c>
      <x:c r="B2" s="1" t="n"/>
      <x:c r="C2" s="1" t="n"/>
      <x:c r="D2" s="1" t="n"/>
      <x:c r="E2" s="1" t="n"/>
      <x:c r="F2" s="1" t="n"/>
      <x:c r="G2" s="1" t="n"/>
      <x:c r="H2" s="1" t="n"/>
      <x:c r="I2" s="1" t="n"/>
      <x:c r="J2" s="1" t="n"/>
      <x:c r="K2" s="1" t="n"/>
      <x:c r="L2" s="1" t="n"/>
      <x:c r="M2" s="1" t="n"/>
      <x:c r="N2" s="1" t="n"/>
      <x:c r="O2" s="1" t="n"/>
      <x:c r="P2" s="1" t="n"/>
      <x:c r="Q2" s="1" t="n"/>
      <x:c r="R2" s="1" t="n"/>
    </x:row>
    <x:row r="3" ht="36" customHeight="1">
      <x:c r="A3" s="20" t="inlineStr">
        <x:is>
          <x:t xml:space="preserve">Global Rule ID</x:t>
        </x:is>
      </x:c>
      <x:c r="B3" s="20" t="inlineStr">
        <x:is>
          <x:t xml:space="preserve">Short Title</x:t>
        </x:is>
      </x:c>
      <x:c r="C3" s="20" t="inlineStr">
        <x:is>
          <x:t xml:space="preserve">Axis</x:t>
        </x:is>
      </x:c>
      <x:c r="D3" s="20" t="inlineStr">
        <x:is>
          <x:t xml:space="preserve">Category</x:t>
        </x:is>
      </x:c>
      <x:c r="E3" s="20" t="inlineStr">
        <x:is>
          <x:t xml:space="preserve">Description</x:t>
        </x:is>
      </x:c>
      <x:c r="F3" s="20" t="inlineStr">
        <x:is>
          <x:t xml:space="preserve">Before Pattern / Variants</x:t>
        </x:is>
      </x:c>
      <x:c r="G3" s="20" t="inlineStr">
        <x:is>
          <x:t xml:space="preserve">After Pattern / Variants</x:t>
        </x:is>
      </x:c>
      <x:c r="H3" s="20" t="inlineStr">
        <x:is>
          <x:t xml:space="preserve">Conditions</x:t>
        </x:is>
      </x:c>
      <x:c r="I3" s="20" t="inlineStr">
        <x:is>
          <x:t xml:space="preserve">Automatability</x:t>
        </x:is>
      </x:c>
      <x:c r="J3" s="20" t="inlineStr">
        <x:is>
          <x:t xml:space="preserve">Risk If Wrong</x:t>
        </x:is>
      </x:c>
      <x:c r="K3" s="20" t="inlineStr">
        <x:is>
          <x:t xml:space="preserve">Occurrences</x:t>
        </x:is>
      </x:c>
      <x:c r="L3" s="20" t="inlineStr">
        <x:is>
          <x:t xml:space="preserve">Distinct Programs</x:t>
        </x:is>
      </x:c>
      <x:c r="M3" s="20" t="inlineStr">
        <x:is>
          <x:t xml:space="preserve">Source Batches</x:t>
        </x:is>
      </x:c>
      <x:c r="N3" s="20" t="inlineStr">
        <x:is>
          <x:t xml:space="preserve">Example Programs</x:t>
        </x:is>
      </x:c>
      <x:c r="O3" s="20" t="inlineStr">
        <x:is>
          <x:t xml:space="preserve">Conflict Status</x:t>
        </x:is>
      </x:c>
      <x:c r="P3" s="20" t="inlineStr">
        <x:is>
          <x:t xml:space="preserve">Exceptions</x:t>
        </x:is>
      </x:c>
      <x:c r="Q3" s="20" t="inlineStr">
        <x:is>
          <x:t xml:space="preserve">Confidence</x:t>
        </x:is>
      </x:c>
      <x:c r="R3" s="20" t="inlineStr">
        <x:is>
          <x:t xml:space="preserve">Source Finding IDs</x:t>
        </x:is>
      </x:c>
    </x:row>
    <x:row r="4" ht="78" customHeight="1">
      <x:c r="A4" s="28" t="inlineStr">
        <x:is>
          <x:t xml:space="preserve">C-001</x:t>
        </x:is>
      </x:c>
      <x:c r="B4" s="28" t="inlineStr">
        <x:is>
          <x:t xml:space="preserve">Persist SUPPAE in SDTM</x:t>
        </x:is>
      </x:c>
      <x:c r="C4" s="28" t="inlineStr">
        <x:is>
          <x:t xml:space="preserve">Platform</x:t>
        </x:is>
      </x:c>
      <x:c r="D4" s="28" t="inlineStr">
        <x:is>
          <x:t xml:space="preserve">Output dataset handling</x:t>
        </x:is>
      </x:c>
      <x:c r="E4" s="28" t="inlineStr">
        <x:is>
          <x:t xml:space="preserve">Creates permanent SDTM.SUPPAE output copies directly from WORK.SUPPAE. Apply only if the migration requires these additional native SDTM datasets; the pattern occurs only in t900ae.sas.</x:t>
        </x:is>
      </x:c>
      <x:c r="F4" s="28" t="inlineStr">
        <x:is>
          <x:t xml:space="preserve">[no corresponding executable DATA step]</x:t>
        </x:is>
      </x:c>
      <x:c r="G4" s="28" t="inlineStr">
        <x:is>
          <x:t xml:space="preserve">data sdtm.suppae [sdtm.suppae1]; set suppae; run;</x:t>
        </x:is>
      </x:c>
      <x:c r="H4" s="28" t="inlineStr">
        <x:is>
          <x:t xml:space="preserve">AE/SUPPAE output block.</x:t>
        </x:is>
      </x:c>
      <x:c r="I4" s="28" t="inlineStr">
        <x:is>
          <x:t xml:space="preserve">Contextual</x:t>
        </x:is>
      </x:c>
      <x:c r="J4" s="28" t="inlineStr">
        <x:is>
          <x:t xml:space="preserve">High</x:t>
        </x:is>
      </x:c>
      <x:c r="K4" s="28" t="n">
        <x:v>2</x:v>
      </x:c>
      <x:c r="L4" s="28" t="n">
        <x:v>1</x:v>
      </x:c>
      <x:c r="M4" s="28" t="str">
        <x:v>EXAMPLE002 SDTM</x:v>
      </x:c>
      <x:c r="N4" s="28" t="str">
        <x:v>EXAMPLE002 SDTM: t900ae.sas</x:v>
      </x:c>
      <x:c r="O4" s="28" t="inlineStr">
        <x:is>
          <x:t xml:space="preserve">None</x:t>
        </x:is>
      </x:c>
      <x:c r="P4" s="28" t="n"/>
      <x:c r="Q4" s="28" t="inlineStr">
        <x:is>
          <x:t xml:space="preserve">Medium</x:t>
        </x:is>
      </x:c>
      <x:c r="R4" s="28" t="str">
        <x:v>EXAMPLE002 SDTM:C-EXAMPLE002-SDTM-001</x:v>
      </x:c>
    </x:row>
    <x:row r="5" ht="78" customHeight="1">
      <x:c r="A5" s="28" t="inlineStr">
        <x:is>
          <x:t xml:space="preserve">C-002</x:t>
        </x:is>
      </x:c>
      <x:c r="B5" s="28" t="inlineStr">
        <x:is>
          <x:t xml:space="preserve">Read native SDTM datasets</x:t>
        </x:is>
      </x:c>
      <x:c r="C5" s="28" t="inlineStr">
        <x:is>
          <x:t xml:space="preserve">Platform</x:t>
        </x:is>
      </x:c>
      <x:c r="D5" s="28" t="inlineStr">
        <x:is>
          <x:t xml:space="preserve">SDTM data access</x:t>
        </x:is>
      </x:c>
      <x:c r="E5" s="28" t="str">
        <x:v>Replaces generic `%util_getdata` reads with direct reads from native SDTM datasets. Apply only under the consolidated conditions and variants supported by the evidence from EXAMPLE002 SDTM.</x:v>
      </x:c>
      <x:c r="F5" s="28" t="inlineStr">
        <x:is>
          <x:t xml:space="preserve">Variant 1: %util_getdata(tv);
Variant 2: %util_getdata(sv);</x:t>
        </x:is>
      </x:c>
      <x:c r="G5" s="28" t="inlineStr">
        <x:is>
          <x:t xml:space="preserve">Variant 1: data tv; set sdtm.tv; run;
Variant 2: data sv; set sdtm.sv; run;</x:t>
        </x:is>
      </x:c>
      <x:c r="H5" s="28" t="inlineStr">
        <x:is>
          <x:t xml:space="preserve">SV program native SDTM read.</x:t>
        </x:is>
      </x:c>
      <x:c r="I5" s="28" t="inlineStr">
        <x:is>
          <x:t xml:space="preserve">Contextual</x:t>
        </x:is>
      </x:c>
      <x:c r="J5" s="28" t="inlineStr">
        <x:is>
          <x:t xml:space="preserve">High</x:t>
        </x:is>
      </x:c>
      <x:c r="K5" s="28" t="n">
        <x:v>2</x:v>
      </x:c>
      <x:c r="L5" s="28" t="n">
        <x:v>1</x:v>
      </x:c>
      <x:c r="M5" s="28" t="str">
        <x:v>EXAMPLE002 SDTM</x:v>
      </x:c>
      <x:c r="N5" s="28" t="str">
        <x:v>EXAMPLE002 SDTM: t900sv.sas</x:v>
      </x:c>
      <x:c r="O5" s="28" t="inlineStr">
        <x:is>
          <x:t xml:space="preserve">None</x:t>
        </x:is>
      </x:c>
      <x:c r="P5" s="28" t="n"/>
      <x:c r="Q5" s="28" t="inlineStr">
        <x:is>
          <x:t xml:space="preserve">Medium</x:t>
        </x:is>
      </x:c>
      <x:c r="R5" s="28" t="str">
        <x:v>EXAMPLE002 SDTM:C-EXAMPLE002-SDTM-008; EXAMPLE002 SDTM:C-EXAMPLE002-SDTM-009</x:v>
      </x:c>
    </x:row>
    <x:row r="6" ht="78" customHeight="1">
      <x:c r="A6" s="28" t="inlineStr">
        <x:is>
          <x:t xml:space="preserve">C-003</x:t>
        </x:is>
      </x:c>
      <x:c r="B6" s="28" t="inlineStr">
        <x:is>
          <x:t xml:space="preserve">Add SAS diagnostic options</x:t>
        </x:is>
      </x:c>
      <x:c r="C6" s="28" t="inlineStr">
        <x:is>
          <x:t xml:space="preserve">Unclear</x:t>
        </x:is>
      </x:c>
      <x:c r="D6" s="28" t="inlineStr">
        <x:is>
          <x:t xml:space="preserve">SAS system options</x:t>
        </x:is>
      </x:c>
      <x:c r="E6" s="28" t="inlineStr">
        <x:is>
          <x:t xml:space="preserve">Adds `options mprint mlogic nofmterr missing='';` before the startup include in u900adpc.sas. Apply only with human confirmation because the files do not establish why this option set is unique to that program.</x:t>
        </x:is>
      </x:c>
      <x:c r="F6" s="28" t="inlineStr">
        <x:is>
          <x:t xml:space="preserve">[no corresponding executable line]</x:t>
        </x:is>
      </x:c>
      <x:c r="G6" s="28" t="inlineStr">
        <x:is>
          <x:t xml:space="preserve">options mprint mlogic nofmterr missing='';</x:t>
        </x:is>
      </x:c>
      <x:c r="H6" s="28" t="inlineStr">
        <x:is>
          <x:t xml:space="preserve">Observed only in u900adpc.sas.</x:t>
        </x:is>
      </x:c>
      <x:c r="I6" s="28" t="inlineStr">
        <x:is>
          <x:t xml:space="preserve">Manual</x:t>
        </x:is>
      </x:c>
      <x:c r="J6" s="28" t="inlineStr">
        <x:is>
          <x:t xml:space="preserve">Medium</x:t>
        </x:is>
      </x:c>
      <x:c r="K6" s="28" t="n">
        <x:v>1</x:v>
      </x:c>
      <x:c r="L6" s="28" t="n">
        <x:v>1</x:v>
      </x:c>
      <x:c r="M6" s="28" t="str">
        <x:v>EXAMPLE002 ADaM</x:v>
      </x:c>
      <x:c r="N6" s="28" t="str">
        <x:v>EXAMPLE002 ADaM: u900adpc.sas</x:v>
      </x:c>
      <x:c r="O6" s="28" t="inlineStr">
        <x:is>
          <x:t xml:space="preserve">None</x:t>
        </x:is>
      </x:c>
      <x:c r="P6" s="28" t="n"/>
      <x:c r="Q6" s="28" t="inlineStr">
        <x:is>
          <x:t xml:space="preserve">Medium</x:t>
        </x:is>
      </x:c>
      <x:c r="R6" s="28" t="str">
        <x:v>EXAMPLE002 ADaM:C-EXAMPLE002-ADAM-003</x:v>
      </x:c>
    </x:row>
    <x:row r="7" ht="78" customHeight="1">
      <x:c r="A7" s="28" t="inlineStr">
        <x:is>
          <x:t xml:space="preserve">C-004</x:t>
        </x:is>
      </x:c>
      <x:c r="B7" s="28" t="inlineStr">
        <x:is>
          <x:t xml:space="preserve">Add V9 to ADSL read</x:t>
        </x:is>
      </x:c>
      <x:c r="C7" s="28" t="inlineStr">
        <x:is>
          <x:t xml:space="preserve">Unclear</x:t>
        </x:is>
      </x:c>
      <x:c r="D7" s="28" t="str">
        <x:v>UTIL_GETDATA engine option</x:v>
      </x:c>
      <x:c r="E7" s="28" t="inlineStr">
        <x:is>
          <x:t xml:space="preserve">Redirects the demonstrated ADSL `%util_getdata` read from `libref=data` to `libref=ADaM` and adds `engine=V9`. Apply only with human confirmation because the evidence does not show why this one read needs the extra engine option.</x:t>
        </x:is>
      </x:c>
      <x:c r="F7" s="28" t="inlineStr">
        <x:is>
          <x:t xml:space="preserve">%util_getdata(adsl, libref=data, sort = subjid);</x:t>
        </x:is>
      </x:c>
      <x:c r="G7" s="28" t="inlineStr">
        <x:is>
          <x:t xml:space="preserve">%util_getdata(adsl, libref=ADaM, sort = subjid,engine=V9);</x:t>
        </x:is>
      </x:c>
      <x:c r="H7" s="28" t="inlineStr">
        <x:is>
          <x:t xml:space="preserve">Observed only in l900eg01.sas.</x:t>
        </x:is>
      </x:c>
      <x:c r="I7" s="28" t="inlineStr">
        <x:is>
          <x:t xml:space="preserve">Manual</x:t>
        </x:is>
      </x:c>
      <x:c r="J7" s="28" t="inlineStr">
        <x:is>
          <x:t xml:space="preserve">High</x:t>
        </x:is>
      </x:c>
      <x:c r="K7" s="28" t="n">
        <x:v>1</x:v>
      </x:c>
      <x:c r="L7" s="28" t="n">
        <x:v>1</x:v>
      </x:c>
      <x:c r="M7" s="28" t="str">
        <x:v>EXAMPLE002 TLF</x:v>
      </x:c>
      <x:c r="N7" s="28" t="str">
        <x:v>EXAMPLE002 TLF: l900eg01.sas</x:v>
      </x:c>
      <x:c r="O7" s="28" t="inlineStr">
        <x:is>
          <x:t xml:space="preserve">None</x:t>
        </x:is>
      </x:c>
      <x:c r="P7" s="28" t="n"/>
      <x:c r="Q7" s="28" t="inlineStr">
        <x:is>
          <x:t xml:space="preserve">Low</x:t>
        </x:is>
      </x:c>
      <x:c r="R7" s="28" t="str">
        <x:v>EXAMPLE002 TLF:C-EXAMPLE002-TLF-002</x:v>
      </x:c>
    </x:row>
    <x:row r="8" ht="78" customHeight="1">
      <x:c r="A8" s="28" t="inlineStr">
        <x:is>
          <x:t xml:space="preserve">C-005</x:t>
        </x:is>
      </x:c>
      <x:c r="B8" s="28" t="inlineStr">
        <x:is>
          <x:t xml:space="preserve">Add study date variables</x:t>
        </x:is>
      </x:c>
      <x:c r="C8" s="28" t="inlineStr">
        <x:is>
          <x:t xml:space="preserve">Platform</x:t>
        </x:is>
      </x:c>
      <x:c r="D8" s="28" t="inlineStr">
        <x:is>
          <x:t xml:space="preserve">Program environment metadata</x:t>
        </x:is>
      </x:c>
      <x:c r="E8" s="28" t="inlineStr">
        <x:is>
          <x:t xml:space="preserve">Expands the autoexec date setup by adding `studyid` and `datacut` while preserving the existing `cutdate` value. Apply only to the TLF autoexec study/date variable block; this pattern occurs once.</x:t>
        </x:is>
      </x:c>
      <x:c r="F8" s="28" t="inlineStr">
        <x:is>
          <x:t xml:space="preserve">%let cutdate=%str(2025-07-25);</x:t>
        </x:is>
      </x:c>
      <x:c r="G8" s="28" t="str">
        <x:v>%let studyid = EXAMPLE001;
%let cutdate = %str(2025-07-25);
%let datacut = %str(2025-07-25);</x:v>
      </x:c>
      <x:c r="H8" s="28" t="inlineStr">
        <x:is>
          <x:t xml:space="preserve">TLF autoexec study/date macro-variable initialization.</x:t>
        </x:is>
      </x:c>
      <x:c r="I8" s="28" t="inlineStr">
        <x:is>
          <x:t xml:space="preserve">Contextual</x:t>
        </x:is>
      </x:c>
      <x:c r="J8" s="28" t="inlineStr">
        <x:is>
          <x:t xml:space="preserve">Medium</x:t>
        </x:is>
      </x:c>
      <x:c r="K8" s="28" t="n">
        <x:v>1</x:v>
      </x:c>
      <x:c r="L8" s="28" t="n">
        <x:v>1</x:v>
      </x:c>
      <x:c r="M8" s="28" t="str">
        <x:v>EXAMPLE001 TLF</x:v>
      </x:c>
      <x:c r="N8" s="28" t="str">
        <x:v>EXAMPLE001 TLF: autoexec.sas</x:v>
      </x:c>
      <x:c r="O8" s="28" t="inlineStr">
        <x:is>
          <x:t xml:space="preserve">None</x:t>
        </x:is>
      </x:c>
      <x:c r="P8" s="28" t="n"/>
      <x:c r="Q8" s="28" t="inlineStr">
        <x:is>
          <x:t xml:space="preserve">Low</x:t>
        </x:is>
      </x:c>
      <x:c r="R8" s="28" t="str">
        <x:v>EXAMPLE001 TLF:C-EXAMPLE001-TLF-004</x:v>
      </x:c>
    </x:row>
    <x:row r="9" ht="78" customHeight="1">
      <x:c r="A9" s="28" t="inlineStr">
        <x:is>
          <x:t xml:space="preserve">C-006</x:t>
        </x:is>
      </x:c>
      <x:c r="B9" s="28" t="inlineStr">
        <x:is>
          <x:t xml:space="preserve">Disable ADLB validation compare</x:t>
        </x:is>
      </x:c>
      <x:c r="C9" s="28" t="inlineStr">
        <x:is>
          <x:t xml:space="preserve">Unclear</x:t>
        </x:is>
      </x:c>
      <x:c r="D9" s="28" t="inlineStr">
        <x:is>
          <x:t xml:space="preserve">Validation/QC execution</x:t>
        </x:is>
      </x:c>
      <x:c r="E9" s="28" t="inlineStr">
        <x:is>
          <x:t xml:space="preserve">Comments out the ADLB validation-library assignment, validation DATA step, and PROC COMPARE block in the SCE version. Apply only after human review because the files show the disabling action but do not establish whether it is an OS requirement, a platform requirement, or a study-specific validation decision.</x:t>
        </x:is>
      </x:c>
      <x:c r="F9" s="28" t="inlineStr">
        <x:is>
          <x:t xml:space="preserve">libname vadam ...; data vadlb; set vadam.vadlb; ... proc compare base=padam.adlb compare=vadam.vadlb ...;</x:t>
        </x:is>
      </x:c>
      <x:c r="G9" s="28" t="inlineStr">
        <x:is>
          <x:t xml:space="preserve">*libname vadam ...; *data vadlb; /*set vadam.vadlb;*/ ... *proc compare ...;</x:t>
        </x:is>
      </x:c>
      <x:c r="H9" s="28" t="inlineStr">
        <x:is>
          <x:t xml:space="preserve">Observed only in adlb.sas.</x:t>
        </x:is>
      </x:c>
      <x:c r="I9" s="28" t="inlineStr">
        <x:is>
          <x:t xml:space="preserve">Manual</x:t>
        </x:is>
      </x:c>
      <x:c r="J9" s="28" t="inlineStr">
        <x:is>
          <x:t xml:space="preserve">High</x:t>
        </x:is>
      </x:c>
      <x:c r="K9" s="28" t="n">
        <x:v>1</x:v>
      </x:c>
      <x:c r="L9" s="28" t="n">
        <x:v>1</x:v>
      </x:c>
      <x:c r="M9" s="28" t="str">
        <x:v>EXAMPLE001 ADaM</x:v>
      </x:c>
      <x:c r="N9" s="28" t="str">
        <x:v>EXAMPLE001 ADaM: adlb.sas</x:v>
      </x:c>
      <x:c r="O9" s="28" t="inlineStr">
        <x:is>
          <x:t xml:space="preserve">None</x:t>
        </x:is>
      </x:c>
      <x:c r="P9" s="28" t="n"/>
      <x:c r="Q9" s="28" t="inlineStr">
        <x:is>
          <x:t xml:space="preserve">High</x:t>
        </x:is>
      </x:c>
      <x:c r="R9" s="28" t="str">
        <x:v>EXAMPLE001 ADaM:C-EXAMPLE001-ADAM-003</x:v>
      </x:c>
    </x:row>
    <x:row r="10" ht="78" customHeight="1">
      <x:c r="A10" s="28" t="inlineStr">
        <x:is>
          <x:t xml:space="preserve">C-007</x:t>
        </x:is>
      </x:c>
      <x:c r="B10" s="28" t="inlineStr">
        <x:is>
          <x:t xml:space="preserve">Disable autoexec MHEADFOOT include</x:t>
        </x:is>
      </x:c>
      <x:c r="C10" s="28" t="inlineStr">
        <x:is>
          <x:t xml:space="preserve">Platform</x:t>
        </x:is>
      </x:c>
      <x:c r="D10" s="28" t="inlineStr">
        <x:is>
          <x:t xml:space="preserve">SCE utility macro dependency</x:t>
        </x:is>
      </x:c>
      <x:c r="E10" s="28" t="inlineStr">
        <x:is>
          <x:t xml:space="preserve">Comments out the legacy direct `mheadfoot.sas` include inside the TLF autoexec. Apply only if per-program MHEADFOOT loading is intentionally used instead; this exact autoexec-level pattern occurs once.</x:t>
        </x:is>
      </x:c>
      <x:c r="F10" s="28" t="inlineStr">
        <x:is>
          <x:t xml:space="preserve">%include "../../../../programs/tlf/20260131_SYNTH/primary/macros/mheadfoot.sas";</x:t>
        </x:is>
      </x:c>
      <x:c r="G10" s="28" t="inlineStr">
        <x:is>
          <x:t xml:space="preserve">/*%include "../../../../programs/tlf/20260131_SYNTH/primary/macros/mheadfoot.sas";*/</x:t>
        </x:is>
      </x:c>
      <x:c r="H10" s="28" t="str">
        <x:v>TLF autoexec only; paired report/listing programs add the active SCE include under R-EXAMPLE001-TLF-006.</x:v>
      </x:c>
      <x:c r="I10" s="28" t="inlineStr">
        <x:is>
          <x:t xml:space="preserve">Contextual</x:t>
        </x:is>
      </x:c>
      <x:c r="J10" s="28" t="inlineStr">
        <x:is>
          <x:t xml:space="preserve">Medium</x:t>
        </x:is>
      </x:c>
      <x:c r="K10" s="28" t="n">
        <x:v>1</x:v>
      </x:c>
      <x:c r="L10" s="28" t="n">
        <x:v>1</x:v>
      </x:c>
      <x:c r="M10" s="28" t="str">
        <x:v>EXAMPLE001 TLF</x:v>
      </x:c>
      <x:c r="N10" s="28" t="str">
        <x:v>EXAMPLE001 TLF: autoexec.sas</x:v>
      </x:c>
      <x:c r="O10" s="28" t="inlineStr">
        <x:is>
          <x:t xml:space="preserve">None</x:t>
        </x:is>
      </x:c>
      <x:c r="P10" s="28" t="n"/>
      <x:c r="Q10" s="28" t="inlineStr">
        <x:is>
          <x:t xml:space="preserve">Medium</x:t>
        </x:is>
      </x:c>
      <x:c r="R10" s="28" t="str">
        <x:v>EXAMPLE001 TLF:C-EXAMPLE001-TLF-005</x:v>
      </x:c>
    </x:row>
    <x:row r="11" ht="78" customHeight="1">
      <x:c r="A11" s="28" t="inlineStr">
        <x:is>
          <x:t xml:space="preserve">C-008</x:t>
        </x:is>
      </x:c>
      <x:c r="B11" s="28" t="inlineStr">
        <x:is>
          <x:t xml:space="preserve">Map validation data path</x:t>
        </x:is>
      </x:c>
      <x:c r="C11" s="28" t="inlineStr">
        <x:is>
          <x:t xml:space="preserve">Both</x:t>
        </x:is>
      </x:c>
      <x:c r="D11" s="28" t="inlineStr">
        <x:is>
          <x:t xml:space="preserve">Validation data location</x:t>
        </x:is>
      </x:c>
      <x:c r="E11" s="28" t="inlineStr">
        <x:is>
          <x:t xml:space="preserve">Replaces the legacy VAL validation-data LIBNAME path with the SCE study-root validation path. Apply to the active VAL LIBNAME assignment in the study autoexec.</x:t>
        </x:is>
      </x:c>
      <x:c r="F11" s="28" t="inlineStr">
        <x:is>
          <x:t xml:space="preserve">		libname val "../../../../data/sdtm/20260131_SYNTH/validation";</x:t>
        </x:is>
      </x:c>
      <x:c r="G11" s="28" t="inlineStr">
        <x:is>
          <x:t xml:space="preserve">		libname val "&amp;targetStudy.\Dev\Data\SDTM\validation";</x:t>
        </x:is>
      </x:c>
      <x:c r="H11" s="28" t="inlineStr">
        <x:is>
          <x:t xml:space="preserve">Active VAL LIBNAME in autoexec.sas</x:t>
        </x:is>
      </x:c>
      <x:c r="I11" s="28" t="inlineStr">
        <x:is>
          <x:t xml:space="preserve">Contextual</x:t>
        </x:is>
      </x:c>
      <x:c r="J11" s="28" t="inlineStr">
        <x:is>
          <x:t xml:space="preserve">High</x:t>
        </x:is>
      </x:c>
      <x:c r="K11" s="28" t="n">
        <x:v>1</x:v>
      </x:c>
      <x:c r="L11" s="28" t="n">
        <x:v>1</x:v>
      </x:c>
      <x:c r="M11" s="28" t="str">
        <x:v>EXAMPLE001 SDTM</x:v>
      </x:c>
      <x:c r="N11" s="28" t="str">
        <x:v>EXAMPLE001 SDTM: autoexec.sas</x:v>
      </x:c>
      <x:c r="O11" s="28" t="inlineStr">
        <x:is>
          <x:t xml:space="preserve">None</x:t>
        </x:is>
      </x:c>
      <x:c r="P11" s="28" t="n"/>
      <x:c r="Q11" s="28" t="inlineStr">
        <x:is>
          <x:t xml:space="preserve">High</x:t>
        </x:is>
      </x:c>
      <x:c r="R11" s="28" t="str">
        <x:v>EXAMPLE001 SDTM:C-EXAMPLE001-SDTM-004</x:v>
      </x:c>
    </x:row>
    <x:row r="12" ht="78" customHeight="1">
      <x:c r="A12" s="28" t="inlineStr">
        <x:is>
          <x:t xml:space="preserve">C-009</x:t>
        </x:is>
      </x:c>
      <x:c r="B12" s="28" t="inlineStr">
        <x:is>
          <x:t xml:space="preserve">Map validation program path</x:t>
        </x:is>
      </x:c>
      <x:c r="C12" s="28" t="inlineStr">
        <x:is>
          <x:t xml:space="preserve">Both</x:t>
        </x:is>
      </x:c>
      <x:c r="D12" s="28" t="inlineStr">
        <x:is>
          <x:t xml:space="preserve">Validation program location</x:t>
        </x:is>
      </x:c>
      <x:c r="E12" s="28" t="inlineStr">
        <x:is>
          <x:t xml:space="preserve">Replaces the legacy PG validation-program LIBNAME path with the SCE study-root validation path. Apply to the active PG LIBNAME assignment in the study autoexec.</x:t>
        </x:is>
      </x:c>
      <x:c r="F12" s="28" t="inlineStr">
        <x:is>
          <x:t xml:space="preserve">		libname pg "../../../../programs/sdtm/20260131_SYNTH/validation";</x:t>
        </x:is>
      </x:c>
      <x:c r="G12" s="28" t="inlineStr">
        <x:is>
          <x:t xml:space="preserve">		libname pg "&amp;targetStudy.\Dev\Programs\SDTM\validation";</x:t>
        </x:is>
      </x:c>
      <x:c r="H12" s="28" t="inlineStr">
        <x:is>
          <x:t xml:space="preserve">Active PG LIBNAME in autoexec.sas</x:t>
        </x:is>
      </x:c>
      <x:c r="I12" s="28" t="inlineStr">
        <x:is>
          <x:t xml:space="preserve">Contextual</x:t>
        </x:is>
      </x:c>
      <x:c r="J12" s="28" t="inlineStr">
        <x:is>
          <x:t xml:space="preserve">Medium</x:t>
        </x:is>
      </x:c>
      <x:c r="K12" s="28" t="n">
        <x:v>1</x:v>
      </x:c>
      <x:c r="L12" s="28" t="n">
        <x:v>1</x:v>
      </x:c>
      <x:c r="M12" s="28" t="str">
        <x:v>EXAMPLE001 SDTM</x:v>
      </x:c>
      <x:c r="N12" s="28" t="str">
        <x:v>EXAMPLE001 SDTM: autoexec.sas</x:v>
      </x:c>
      <x:c r="O12" s="28" t="inlineStr">
        <x:is>
          <x:t xml:space="preserve">None</x:t>
        </x:is>
      </x:c>
      <x:c r="P12" s="28" t="n"/>
      <x:c r="Q12" s="28" t="inlineStr">
        <x:is>
          <x:t xml:space="preserve">High</x:t>
        </x:is>
      </x:c>
      <x:c r="R12" s="28" t="str">
        <x:v>EXAMPLE001 SDTM:C-EXAMPLE001-SDTM-003</x:v>
      </x:c>
    </x:row>
    <x:row r="13" ht="78" customHeight="1">
      <x:c r="A13" s="28" t="inlineStr">
        <x:is>
          <x:t xml:space="preserve">C-010</x:t>
        </x:is>
      </x:c>
      <x:c r="B13" s="28" t="inlineStr">
        <x:is>
          <x:t xml:space="preserve">Normalize transpose terminator</x:t>
        </x:is>
      </x:c>
      <x:c r="C13" s="28" t="inlineStr">
        <x:is>
          <x:t xml:space="preserve">Unclear</x:t>
        </x:is>
      </x:c>
      <x:c r="D13" s="28" t="inlineStr">
        <x:is>
          <x:t xml:space="preserve">SAS syntax cleanup</x:t>
        </x:is>
      </x:c>
      <x:c r="E13" s="28" t="inlineStr">
        <x:is>
          <x:t xml:space="preserve">Changes the demonstrated PROC TRANSPOSE statement terminator from `;;` to `;`. Apply only after human review because the same doubled terminator is retained in another paired program and the change is not established as a migration requirement.</x:t>
        </x:is>
      </x:c>
      <x:c r="F13" s="28" t="inlineStr">
        <x:is>
          <x:t xml:space="preserve">proc transpose data = suppds(keep = usubjid idvarval qnam qval) out = suppds_t(drop = _name_ _label_);;</x:t>
        </x:is>
      </x:c>
      <x:c r="G13" s="28" t="inlineStr">
        <x:is>
          <x:t xml:space="preserve">proc transpose data = suppds(keep = usubjid idvarval qnam qval) out = suppds_t(drop = _name_ _label_);</x:t>
        </x:is>
      </x:c>
      <x:c r="H13" s="28" t="inlineStr">
        <x:is>
          <x:t xml:space="preserve">Observed only in l900ds03.sas; l900ic01.sas retains the doubled terminator.</x:t>
        </x:is>
      </x:c>
      <x:c r="I13" s="28" t="inlineStr">
        <x:is>
          <x:t xml:space="preserve">Manual</x:t>
        </x:is>
      </x:c>
      <x:c r="J13" s="28" t="inlineStr">
        <x:is>
          <x:t xml:space="preserve">Low</x:t>
        </x:is>
      </x:c>
      <x:c r="K13" s="28" t="n">
        <x:v>1</x:v>
      </x:c>
      <x:c r="L13" s="28" t="n">
        <x:v>1</x:v>
      </x:c>
      <x:c r="M13" s="28" t="str">
        <x:v>EXAMPLE002 TLF</x:v>
      </x:c>
      <x:c r="N13" s="28" t="str">
        <x:v>EXAMPLE002 TLF: l900ds03.sas</x:v>
      </x:c>
      <x:c r="O13" s="28" t="inlineStr">
        <x:is>
          <x:t xml:space="preserve">Conflicted</x:t>
        </x:is>
      </x:c>
      <x:c r="P13" s="28" t="inlineStr">
        <x:is>
          <x:t xml:space="preserve">l900ic01.sas retains the same doubled terminator.</x:t>
        </x:is>
      </x:c>
      <x:c r="Q13" s="28" t="inlineStr">
        <x:is>
          <x:t xml:space="preserve">Low</x:t>
        </x:is>
      </x:c>
      <x:c r="R13" s="28" t="str">
        <x:v>EXAMPLE002 TLF:C-EXAMPLE002-TLF-003</x:v>
      </x:c>
    </x:row>
    <x:row r="14" ht="78" customHeight="1">
      <x:c r="A14" s="28" t="inlineStr">
        <x:is>
          <x:t xml:space="preserve">C-011</x:t>
        </x:is>
      </x:c>
      <x:c r="B14" s="28" t="inlineStr">
        <x:is>
          <x:t xml:space="preserve">Redirect TLF macro root</x:t>
        </x:is>
      </x:c>
      <x:c r="C14" s="28" t="inlineStr">
        <x:is>
          <x:t xml:space="preserve">Both</x:t>
        </x:is>
      </x:c>
      <x:c r="D14" s="28" t="inlineStr">
        <x:is>
          <x:t xml:space="preserve">SASAUTOS and autocall configuration</x:t>
        </x:is>
      </x:c>
      <x:c r="E14" s="28" t="inlineStr">
        <x:is>
          <x:t xml:space="preserve">Changes the TLF macro-root value from the legacy relative directory to `&amp;targetStudy.\Dev\Programs\TLF\primary\macros`. Apply only to the TLF autoexec configuration; this pattern occurs in one paired program.</x:t>
        </x:is>
      </x:c>
      <x:c r="F14" s="28" t="inlineStr">
        <x:is>
          <x:t xml:space="preserve">%let macro=%str(../../../../programs/tlf/20260131_SYNTH/primary/macros);</x:t>
        </x:is>
      </x:c>
      <x:c r="G14" s="28" t="inlineStr">
        <x:is>
          <x:t xml:space="preserve">%let macro=%str(&amp;targetStudy.\Dev\Programs\TLF\primary\macros);</x:t>
        </x:is>
      </x:c>
      <x:c r="H14" s="28" t="inlineStr">
        <x:is>
          <x:t xml:space="preserve">TLF autoexec macro-root assignment.</x:t>
        </x:is>
      </x:c>
      <x:c r="I14" s="28" t="inlineStr">
        <x:is>
          <x:t xml:space="preserve">Contextual</x:t>
        </x:is>
      </x:c>
      <x:c r="J14" s="28" t="inlineStr">
        <x:is>
          <x:t xml:space="preserve">High</x:t>
        </x:is>
      </x:c>
      <x:c r="K14" s="28" t="n">
        <x:v>1</x:v>
      </x:c>
      <x:c r="L14" s="28" t="n">
        <x:v>1</x:v>
      </x:c>
      <x:c r="M14" s="28" t="str">
        <x:v>EXAMPLE001 TLF</x:v>
      </x:c>
      <x:c r="N14" s="28" t="str">
        <x:v>EXAMPLE001 TLF: autoexec.sas</x:v>
      </x:c>
      <x:c r="O14" s="28" t="inlineStr">
        <x:is>
          <x:t xml:space="preserve">None</x:t>
        </x:is>
      </x:c>
      <x:c r="P14" s="28" t="n"/>
      <x:c r="Q14" s="28" t="inlineStr">
        <x:is>
          <x:t xml:space="preserve">Medium</x:t>
        </x:is>
      </x:c>
      <x:c r="R14" s="28" t="str">
        <x:v>EXAMPLE001 TLF:C-EXAMPLE001-TLF-001</x:v>
      </x:c>
    </x:row>
    <x:row r="15" ht="78" customHeight="1">
      <x:c r="A15" s="28" t="inlineStr">
        <x:is>
          <x:t xml:space="preserve">C-012</x:t>
        </x:is>
      </x:c>
      <x:c r="B15" s="28" t="inlineStr">
        <x:is>
          <x:t xml:space="preserve">Redirect TLF output root</x:t>
        </x:is>
      </x:c>
      <x:c r="C15" s="28" t="inlineStr">
        <x:is>
          <x:t xml:space="preserve">Both</x:t>
        </x:is>
      </x:c>
      <x:c r="D15" s="28" t="inlineStr">
        <x:is>
          <x:t xml:space="preserve">Output and deliverable location</x:t>
        </x:is>
      </x:c>
      <x:c r="E15" s="28" t="inlineStr">
        <x:is>
          <x:t xml:space="preserve">Changes both `_output` and the OUT libref from the legacy relative TLF output directory to `&amp;targetStudy.\Dev\Output\TLF`. Apply only to the paired TLF autoexec output-location block; this combined pattern occurs once.</x:t>
        </x:is>
      </x:c>
      <x:c r="F15" s="28" t="inlineStr">
        <x:is>
          <x:t xml:space="preserve">%let _output =../../../../output/tlf/20260131_SYNTH/primary;
libname out "../../../../output/tlf/20260131_SYNTH/primary";</x:t>
        </x:is>
      </x:c>
      <x:c r="G15" s="28" t="inlineStr">
        <x:is>
          <x:t xml:space="preserve">%let _output = &amp;targetStudy.\Dev\Output\TLF;
libname out "&amp;targetStudy.\Dev\Output\TLF";</x:t>
        </x:is>
      </x:c>
      <x:c r="H15" s="28" t="inlineStr">
        <x:is>
          <x:t xml:space="preserve">TLF autoexec output initialization.</x:t>
        </x:is>
      </x:c>
      <x:c r="I15" s="28" t="inlineStr">
        <x:is>
          <x:t xml:space="preserve">Contextual</x:t>
        </x:is>
      </x:c>
      <x:c r="J15" s="28" t="inlineStr">
        <x:is>
          <x:t xml:space="preserve">High</x:t>
        </x:is>
      </x:c>
      <x:c r="K15" s="28" t="n">
        <x:v>1</x:v>
      </x:c>
      <x:c r="L15" s="28" t="n">
        <x:v>1</x:v>
      </x:c>
      <x:c r="M15" s="28" t="str">
        <x:v>EXAMPLE001 TLF</x:v>
      </x:c>
      <x:c r="N15" s="28" t="str">
        <x:v>EXAMPLE001 TLF: autoexec.sas</x:v>
      </x:c>
      <x:c r="O15" s="28" t="inlineStr">
        <x:is>
          <x:t xml:space="preserve">None</x:t>
        </x:is>
      </x:c>
      <x:c r="P15" s="28" t="n"/>
      <x:c r="Q15" s="28" t="inlineStr">
        <x:is>
          <x:t xml:space="preserve">Medium</x:t>
        </x:is>
      </x:c>
      <x:c r="R15" s="28" t="str">
        <x:v>EXAMPLE001 TLF:C-EXAMPLE001-TLF-003</x:v>
      </x:c>
    </x:row>
    <x:row r="16" ht="78" customHeight="1">
      <x:c r="A16" s="28" t="inlineStr">
        <x:is>
          <x:t xml:space="preserve">C-013</x:t>
        </x:is>
      </x:c>
      <x:c r="B16" s="28" t="inlineStr">
        <x:is>
          <x:t xml:space="preserve">Relocate SDTM XPT export</x:t>
        </x:is>
      </x:c>
      <x:c r="C16" s="28" t="inlineStr">
        <x:is>
          <x:t xml:space="preserve">Both</x:t>
        </x:is>
      </x:c>
      <x:c r="D16" s="28" t="inlineStr">
        <x:is>
          <x:t xml:space="preserve">Deliverable location</x:t>
        </x:is>
      </x:c>
      <x:c r="E16" s="28" t="inlineStr">
        <x:is>
          <x:t xml:space="preserve">Changes the TRANS XPORT LIBNAME from `&amp;__SDTMLIB/&amp;data..xpt` to the SCE study SDTM data folder. Apply to the XPT export LIBNAME used by the autoexec conversion macro.</x:t>
        </x:is>
      </x:c>
      <x:c r="F16" s="28" t="inlineStr">
        <x:is>
          <x:t xml:space="preserve">libname trans xport "&amp;__SDTMLIB/&amp;data..xpt";</x:t>
        </x:is>
      </x:c>
      <x:c r="G16" s="28" t="inlineStr">
        <x:is>
          <x:t xml:space="preserve">libname trans xport "&amp;targetStudy.\Dev\Data\SDTM\&amp;data..xpt";</x:t>
        </x:is>
      </x:c>
      <x:c r="H16" s="28" t="inlineStr">
        <x:is>
          <x:t xml:space="preserve">TRANS XPORT LIBNAME in autoexec.sas</x:t>
        </x:is>
      </x:c>
      <x:c r="I16" s="28" t="inlineStr">
        <x:is>
          <x:t xml:space="preserve">Contextual</x:t>
        </x:is>
      </x:c>
      <x:c r="J16" s="28" t="inlineStr">
        <x:is>
          <x:t xml:space="preserve">High</x:t>
        </x:is>
      </x:c>
      <x:c r="K16" s="28" t="n">
        <x:v>1</x:v>
      </x:c>
      <x:c r="L16" s="28" t="n">
        <x:v>1</x:v>
      </x:c>
      <x:c r="M16" s="28" t="str">
        <x:v>EXAMPLE001 SDTM</x:v>
      </x:c>
      <x:c r="N16" s="28" t="str">
        <x:v>EXAMPLE001 SDTM: autoexec.sas</x:v>
      </x:c>
      <x:c r="O16" s="28" t="inlineStr">
        <x:is>
          <x:t xml:space="preserve">None</x:t>
        </x:is>
      </x:c>
      <x:c r="P16" s="28" t="n"/>
      <x:c r="Q16" s="28" t="inlineStr">
        <x:is>
          <x:t xml:space="preserve">High</x:t>
        </x:is>
      </x:c>
      <x:c r="R16" s="28" t="str">
        <x:v>EXAMPLE001 SDTM:C-EXAMPLE001-SDTM-010</x:v>
      </x:c>
    </x:row>
    <x:row r="17" ht="78" customHeight="1">
      <x:c r="A17" s="28" t="inlineStr">
        <x:is>
          <x:t xml:space="preserve">C-014</x:t>
        </x:is>
      </x:c>
      <x:c r="B17" s="28" t="inlineStr">
        <x:is>
          <x:t xml:space="preserve">Split mixed library input</x:t>
        </x:is>
      </x:c>
      <x:c r="C17" s="28" t="inlineStr">
        <x:is>
          <x:t xml:space="preserve">Platform</x:t>
        </x:is>
      </x:c>
      <x:c r="D17" s="28" t="inlineStr">
        <x:is>
          <x:t xml:space="preserve">LIBNAME/data-layer assignment</x:t>
        </x:is>
      </x:c>
      <x:c r="E17" s="28" t="inlineStr">
        <x:is>
          <x:t xml:space="preserve">Splits one `%util_getdata` call that requests both SS and ADSL from `libref=data` into separate SS/Data and ADSL/ADaM calls. Apply only when a single source call mixes members that belong to different SCE data layers.</x:t>
        </x:is>
      </x:c>
      <x:c r="F17" s="28" t="inlineStr">
        <x:is>
          <x:t xml:space="preserve">%util_getdata(ss adsl, libref=data, sort=usubjid, engine=V9);</x:t>
        </x:is>
      </x:c>
      <x:c r="G17" s="28" t="inlineStr">
        <x:is>
          <x:t xml:space="preserve">%util_getdata(ss, libref=Data, sort=usubjid, engine=V9);
%util_getdata(adsl, libref=ADaM, sort=usubjid, engine=V9);</x:t>
        </x:is>
      </x:c>
      <x:c r="H17" s="28" t="inlineStr">
        <x:is>
          <x:t xml:space="preserve">Observed only in u900tte.sas.</x:t>
        </x:is>
      </x:c>
      <x:c r="I17" s="28" t="inlineStr">
        <x:is>
          <x:t xml:space="preserve">Contextual</x:t>
        </x:is>
      </x:c>
      <x:c r="J17" s="28" t="inlineStr">
        <x:is>
          <x:t xml:space="preserve">High</x:t>
        </x:is>
      </x:c>
      <x:c r="K17" s="28" t="n">
        <x:v>1</x:v>
      </x:c>
      <x:c r="L17" s="28" t="n">
        <x:v>1</x:v>
      </x:c>
      <x:c r="M17" s="28" t="str">
        <x:v>EXAMPLE002 ADaM</x:v>
      </x:c>
      <x:c r="N17" s="28" t="str">
        <x:v>EXAMPLE002 ADaM: u900tte.sas</x:v>
      </x:c>
      <x:c r="O17" s="28" t="inlineStr">
        <x:is>
          <x:t xml:space="preserve">None</x:t>
        </x:is>
      </x:c>
      <x:c r="P17" s="28" t="n"/>
      <x:c r="Q17" s="28" t="inlineStr">
        <x:is>
          <x:t xml:space="preserve">High</x:t>
        </x:is>
      </x:c>
      <x:c r="R17" s="28" t="str">
        <x:v>EXAMPLE002 ADaM:C-EXAMPLE002-ADAM-002</x:v>
      </x:c>
    </x:row>
    <x:row r="18" ht="78" customHeight="1">
      <x:c r="A18" s="28" t="inlineStr">
        <x:is>
          <x:t xml:space="preserve">C-015</x:t>
        </x:is>
      </x:c>
      <x:c r="B18" s="28" t="inlineStr">
        <x:is>
          <x:t xml:space="preserve">Suffix death test RTF</x:t>
        </x:is>
      </x:c>
      <x:c r="C18" s="28" t="inlineStr">
        <x:is>
          <x:t xml:space="preserve">Platform</x:t>
        </x:is>
      </x:c>
      <x:c r="D18" s="28" t="inlineStr">
        <x:is>
          <x:t xml:space="preserve">Output and deliverable naming</x:t>
        </x:is>
      </x:c>
      <x:c r="E18" s="28" t="inlineStr">
        <x:is>
          <x:t xml:space="preserve">Changes the L-DEATH RTF filename from `&amp;pgmname..rtf` to `&amp;pgmname._test.rtf`. Apply only to the MA_Testing version of `l-death.sas`; this naming change occurs once.</x:t>
        </x:is>
      </x:c>
      <x:c r="F18" s="28" t="inlineStr">
        <x:is>
          <x:t xml:space="preserve">	ods rtf file="&amp;_output/&amp;pgmname..rtf" style=custom;</x:t>
        </x:is>
      </x:c>
      <x:c r="G18" s="28" t="inlineStr">
        <x:is>
          <x:t xml:space="preserve">	ods rtf file="&amp;_output/&amp;pgmname._test.rtf" style=custom;</x:t>
        </x:is>
      </x:c>
      <x:c r="H18" s="28" t="inlineStr">
        <x:is>
          <x:t xml:space="preserve">MA_Testing/l-death.sas output only.</x:t>
        </x:is>
      </x:c>
      <x:c r="I18" s="28" t="inlineStr">
        <x:is>
          <x:t xml:space="preserve">Contextual</x:t>
        </x:is>
      </x:c>
      <x:c r="J18" s="28" t="inlineStr">
        <x:is>
          <x:t xml:space="preserve">High</x:t>
        </x:is>
      </x:c>
      <x:c r="K18" s="28" t="n">
        <x:v>1</x:v>
      </x:c>
      <x:c r="L18" s="28" t="n">
        <x:v>1</x:v>
      </x:c>
      <x:c r="M18" s="28" t="str">
        <x:v>EXAMPLE001 TLF</x:v>
      </x:c>
      <x:c r="N18" s="28" t="str">
        <x:v>EXAMPLE001 TLF: l-death.sas</x:v>
      </x:c>
      <x:c r="O18" s="28" t="inlineStr">
        <x:is>
          <x:t xml:space="preserve">None</x:t>
        </x:is>
      </x:c>
      <x:c r="P18" s="28" t="n"/>
      <x:c r="Q18" s="28" t="inlineStr">
        <x:is>
          <x:t xml:space="preserve">Low</x:t>
        </x:is>
      </x:c>
      <x:c r="R18" s="28" t="str">
        <x:v>EXAMPLE001 TLF:C-EXAMPLE001-TLF-008</x:v>
      </x:c>
    </x:row>
    <x:row r="19" ht="78" customHeight="1">
      <x:c r="A19" s="28" t="inlineStr">
        <x:is>
          <x:t xml:space="preserve">C-016</x:t>
        </x:is>
      </x:c>
      <x:c r="B19" s="28" t="inlineStr">
        <x:is>
          <x:t xml:space="preserve">Switch LB validation source</x:t>
        </x:is>
      </x:c>
      <x:c r="C19" s="28" t="inlineStr">
        <x:is>
          <x:t xml:space="preserve">Platform</x:t>
        </x:is>
      </x:c>
      <x:c r="D19" s="28" t="inlineStr">
        <x:is>
          <x:t xml:space="preserve">LIBNAME and data access</x:t>
        </x:is>
      </x:c>
      <x:c r="E19" s="28" t="inlineStr">
        <x:is>
          <x:t xml:space="preserve">Changes the T-LB-LC-SAF source from `vadam.vadlb` to `padam.adlb` while preserving the same WHERE condition. Apply only when the validated target intentionally uses PADAM rather than the validation ADAM source; this source-selection pattern occurs once.</x:t>
        </x:is>
      </x:c>
      <x:c r="F19" s="28" t="inlineStr">
        <x:is>
          <x:t xml:space="preserve">   set vadam.vadlb(where=(upcase(phase)="DOSE ESCALATION" and SAFFL="Y"));</x:t>
        </x:is>
      </x:c>
      <x:c r="G19" s="28" t="inlineStr">
        <x:is>
          <x:t xml:space="preserve">   set padam.adlb(where=(upcase(phase)="DOSE ESCALATION" and SAFFL="Y"));</x:t>
        </x:is>
      </x:c>
      <x:c r="H19" s="28" t="inlineStr">
        <x:is>
          <x:t xml:space="preserve">MA_Testing/t-lb-lc-saf.sas; requires human confirmation of the intended source library.</x:t>
        </x:is>
      </x:c>
      <x:c r="I19" s="28" t="inlineStr">
        <x:is>
          <x:t xml:space="preserve">Manual</x:t>
        </x:is>
      </x:c>
      <x:c r="J19" s="28" t="inlineStr">
        <x:is>
          <x:t xml:space="preserve">High</x:t>
        </x:is>
      </x:c>
      <x:c r="K19" s="28" t="n">
        <x:v>1</x:v>
      </x:c>
      <x:c r="L19" s="28" t="n">
        <x:v>1</x:v>
      </x:c>
      <x:c r="M19" s="28" t="str">
        <x:v>EXAMPLE001 TLF</x:v>
      </x:c>
      <x:c r="N19" s="28" t="str">
        <x:v>EXAMPLE001 TLF: t-lb-lc-saf.sas</x:v>
      </x:c>
      <x:c r="O19" s="28" t="inlineStr">
        <x:is>
          <x:t xml:space="preserve">None</x:t>
        </x:is>
      </x:c>
      <x:c r="P19" s="28" t="n"/>
      <x:c r="Q19" s="28" t="inlineStr">
        <x:is>
          <x:t xml:space="preserve">Low</x:t>
        </x:is>
      </x:c>
      <x:c r="R19" s="28" t="str">
        <x:v>EXAMPLE001 TLF:C-EXAMPLE001-TLF-009</x:v>
      </x:c>
    </x:row>
  </x:sheetData>
  <x:mergeCells>
    <x:mergeCell ref="A2:R2"/>
    <x:mergeCell ref="A1:R1"/>
  </x:mergeCells>
  <x:conditionalFormatting sqref="J4:J19">
    <x:cfRule type="expression" dxfId="1" priority="1">
      <x:formula>J4="High"</x:formula>
    </x:cfRule>
    <x:cfRule type="expression" dxfId="3" priority="2">
      <x:formula>J4="Medium"</x:formula>
    </x:cfRule>
  </x:conditionalFormatting>
  <x:conditionalFormatting sqref="O4:O19">
    <x:cfRule type="expression" dxfId="4" priority="3">
      <x:formula>O4="Conflicted"</x:formula>
    </x:cfRule>
  </x:conditionalFormatting>
  <x:pageMargins left="0.7" right="0.7" top="0.75" bottom="0.75" header="0.3" footer="0.3"/>
  <x:tableParts count="1">
    <x:tablePart xmlns:r="http://schemas.openxmlformats.org/officeDocument/2006/relationships" r:id="R59093a3935724c70"/>
  </x:tableParts>
</x:worksheet>
</file>

<file path=xl/worksheets/sheet3.xml><?xml version="1.0" encoding="utf-8"?>
<x:worksheet xmlns:x="http://schemas.openxmlformats.org/spreadsheetml/2006/main">
  <x:sheetFormatPr baseColWidth="8" defaultRowHeight="15"/>
  <x:cols>
    <x:col min="1" max="1" width="14" customWidth="1"/>
    <x:col min="2" max="2" width="9" customWidth="1"/>
    <x:col min="3" max="3" width="10" customWidth="1"/>
    <x:col min="4" max="4" width="18" customWidth="1"/>
    <x:col min="5" max="5" width="20" customWidth="1"/>
    <x:col min="6" max="6" width="34" customWidth="1"/>
    <x:col min="7" max="7" width="13" customWidth="1"/>
    <x:col min="8" max="8" width="14" customWidth="1"/>
    <x:col min="9" max="9" width="34" customWidth="1"/>
    <x:col min="10" max="10" width="14" customWidth="1"/>
    <x:col min="11" max="11" width="16" customWidth="1"/>
    <x:col min="12" max="12" width="18" customWidth="1"/>
    <x:col min="13" max="13" width="42" customWidth="1"/>
  </x:cols>
  <x:sheetData>
    <x:row r="1" ht="27" customHeight="1">
      <x:c r="A1" s="7" t="inlineStr">
        <x:is>
          <x:t xml:space="preserve">Original-to-Global Rule Crosswalk</x:t>
        </x:is>
      </x:c>
      <x:c r="B1" s="1" t="n"/>
      <x:c r="C1" s="1" t="n"/>
      <x:c r="D1" s="1" t="n"/>
      <x:c r="E1" s="1" t="n"/>
      <x:c r="F1" s="1" t="n"/>
      <x:c r="G1" s="1" t="n"/>
      <x:c r="H1" s="1" t="n"/>
      <x:c r="I1" s="1" t="n"/>
      <x:c r="J1" s="1" t="n"/>
      <x:c r="K1" s="1" t="n"/>
      <x:c r="L1" s="1" t="n"/>
      <x:c r="M1" s="1" t="n"/>
    </x:row>
    <x:row r="2" ht="34" customHeight="1">
      <x:c r="A2" s="15" t="inlineStr">
        <x:is>
          <x:t xml:space="preserve">Every original Rule or Candidate Rule from the six workbooks maps to exactly one batch-neutral global finding.</x:t>
        </x:is>
      </x:c>
      <x:c r="B2" s="1" t="n"/>
      <x:c r="C2" s="1" t="n"/>
      <x:c r="D2" s="1" t="n"/>
      <x:c r="E2" s="1" t="n"/>
      <x:c r="F2" s="1" t="n"/>
      <x:c r="G2" s="1" t="n"/>
      <x:c r="H2" s="1" t="n"/>
      <x:c r="I2" s="1" t="n"/>
      <x:c r="J2" s="1" t="n"/>
      <x:c r="K2" s="1" t="n"/>
      <x:c r="L2" s="1" t="n"/>
      <x:c r="M2" s="1" t="n"/>
    </x:row>
    <x:row r="3" ht="36" customHeight="1">
      <x:c r="A3" s="20" t="inlineStr">
        <x:is>
          <x:t xml:space="preserve">Batch</x:t>
        </x:is>
      </x:c>
      <x:c r="B3" s="20" t="inlineStr">
        <x:is>
          <x:t xml:space="preserve">Study</x:t>
        </x:is>
      </x:c>
      <x:c r="C3" s="20" t="inlineStr">
        <x:is>
          <x:t xml:space="preserve">Domain</x:t>
        </x:is>
      </x:c>
      <x:c r="D3" s="20" t="inlineStr">
        <x:is>
          <x:t xml:space="preserve">Original Finding Type</x:t>
        </x:is>
      </x:c>
      <x:c r="E3" s="20" t="inlineStr">
        <x:is>
          <x:t xml:space="preserve">Original Rule ID</x:t>
        </x:is>
      </x:c>
      <x:c r="F3" s="20" t="inlineStr">
        <x:is>
          <x:t xml:space="preserve">Original Short Title</x:t>
        </x:is>
      </x:c>
      <x:c r="G3" s="20" t="inlineStr">
        <x:is>
          <x:t xml:space="preserve">Global Rule ID</x:t>
        </x:is>
      </x:c>
      <x:c r="H3" s="20" t="inlineStr">
        <x:is>
          <x:t xml:space="preserve">Global Type</x:t>
        </x:is>
      </x:c>
      <x:c r="I3" s="20" t="inlineStr">
        <x:is>
          <x:t xml:space="preserve">Global Short Title</x:t>
        </x:is>
      </x:c>
      <x:c r="J3" s="20" t="inlineStr">
        <x:is>
          <x:t xml:space="preserve">Original Occurrences</x:t>
        </x:is>
      </x:c>
      <x:c r="K3" s="20" t="inlineStr">
        <x:is>
          <x:t xml:space="preserve">Original Distinct Programs</x:t>
        </x:is>
      </x:c>
      <x:c r="L3" s="20" t="inlineStr">
        <x:is>
          <x:t xml:space="preserve">Original Conflict Status</x:t>
        </x:is>
      </x:c>
      <x:c r="M3" s="20" t="inlineStr">
        <x:is>
          <x:t xml:space="preserve">Consolidation Basis</x:t>
        </x:is>
      </x:c>
    </x:row>
    <x:row r="4" ht="42" customHeight="1">
      <x:c r="A4" s="28" t="str">
        <x:v>EXAMPLE002 SDTM</x:v>
      </x:c>
      <x:c r="B4" s="28" t="str">
        <x:v>EXAMPLE002</x:v>
      </x:c>
      <x:c r="C4" s="28" t="inlineStr">
        <x:is>
          <x:t xml:space="preserve">SDTM</x:t>
        </x:is>
      </x:c>
      <x:c r="D4" s="28" t="inlineStr">
        <x:is>
          <x:t xml:space="preserve">Candidate</x:t>
        </x:is>
      </x:c>
      <x:c r="E4" s="28" t="str">
        <x:v>C-EXAMPLE002-SDTM-001</x:v>
      </x:c>
      <x:c r="F4" s="28" t="inlineStr">
        <x:is>
          <x:t xml:space="preserve">Persist SUPPAE in SDTM</x:t>
        </x:is>
      </x:c>
      <x:c r="G4" s="28" t="inlineStr">
        <x:is>
          <x:t xml:space="preserve">C-001</x:t>
        </x:is>
      </x:c>
      <x:c r="H4" s="28" t="inlineStr">
        <x:is>
          <x:t xml:space="preserve">Candidate</x:t>
        </x:is>
      </x:c>
      <x:c r="I4" s="28" t="inlineStr">
        <x:is>
          <x:t xml:space="preserve">Persist SUPPAE in SDTM</x:t>
        </x:is>
      </x:c>
      <x:c r="J4" s="28" t="n">
        <x:v>2</x:v>
      </x:c>
      <x:c r="K4" s="28" t="n">
        <x:v>1</x:v>
      </x:c>
      <x:c r="L4" s="28" t="inlineStr">
        <x:is>
          <x:t xml:space="preserve">None</x:t>
        </x:is>
      </x:c>
      <x:c r="M4" s="28" t="inlineStr">
        <x:is>
          <x:t xml:space="preserve">Unique source finding retained</x:t>
        </x:is>
      </x:c>
    </x:row>
    <x:row r="5" ht="42" customHeight="1">
      <x:c r="A5" s="28" t="str">
        <x:v>EXAMPLE002 SDTM</x:v>
      </x:c>
      <x:c r="B5" s="28" t="str">
        <x:v>EXAMPLE002</x:v>
      </x:c>
      <x:c r="C5" s="28" t="inlineStr">
        <x:is>
          <x:t xml:space="preserve">SDTM</x:t>
        </x:is>
      </x:c>
      <x:c r="D5" s="28" t="inlineStr">
        <x:is>
          <x:t xml:space="preserve">Candidate</x:t>
        </x:is>
      </x:c>
      <x:c r="E5" s="28" t="str">
        <x:v>C-EXAMPLE002-SDTM-008</x:v>
      </x:c>
      <x:c r="F5" s="28" t="inlineStr">
        <x:is>
          <x:t xml:space="preserve">Read TV native SDTM</x:t>
        </x:is>
      </x:c>
      <x:c r="G5" s="28" t="inlineStr">
        <x:is>
          <x:t xml:space="preserve">C-002</x:t>
        </x:is>
      </x:c>
      <x:c r="H5" s="28" t="inlineStr">
        <x:is>
          <x:t xml:space="preserve">Candidate</x:t>
        </x:is>
      </x:c>
      <x:c r="I5" s="28" t="inlineStr">
        <x:is>
          <x:t xml:space="preserve">Read native SDTM datasets</x:t>
        </x:is>
      </x:c>
      <x:c r="J5" s="28" t="n">
        <x:v>1</x:v>
      </x:c>
      <x:c r="K5" s="28" t="n">
        <x:v>1</x:v>
      </x:c>
      <x:c r="L5" s="28" t="inlineStr">
        <x:is>
          <x:t xml:space="preserve">None</x:t>
        </x:is>
      </x:c>
      <x:c r="M5" s="28" t="inlineStr">
        <x:is>
          <x:t xml:space="preserve">Merged with semantically similar source findings</x:t>
        </x:is>
      </x:c>
    </x:row>
    <x:row r="6" ht="42" customHeight="1">
      <x:c r="A6" s="28" t="str">
        <x:v>EXAMPLE002 SDTM</x:v>
      </x:c>
      <x:c r="B6" s="28" t="str">
        <x:v>EXAMPLE002</x:v>
      </x:c>
      <x:c r="C6" s="28" t="inlineStr">
        <x:is>
          <x:t xml:space="preserve">SDTM</x:t>
        </x:is>
      </x:c>
      <x:c r="D6" s="28" t="inlineStr">
        <x:is>
          <x:t xml:space="preserve">Candidate</x:t>
        </x:is>
      </x:c>
      <x:c r="E6" s="28" t="str">
        <x:v>C-EXAMPLE002-SDTM-009</x:v>
      </x:c>
      <x:c r="F6" s="28" t="inlineStr">
        <x:is>
          <x:t xml:space="preserve">Read SV native SDTM</x:t>
        </x:is>
      </x:c>
      <x:c r="G6" s="28" t="inlineStr">
        <x:is>
          <x:t xml:space="preserve">C-002</x:t>
        </x:is>
      </x:c>
      <x:c r="H6" s="28" t="inlineStr">
        <x:is>
          <x:t xml:space="preserve">Candidate</x:t>
        </x:is>
      </x:c>
      <x:c r="I6" s="28" t="inlineStr">
        <x:is>
          <x:t xml:space="preserve">Read native SDTM datasets</x:t>
        </x:is>
      </x:c>
      <x:c r="J6" s="28" t="n">
        <x:v>1</x:v>
      </x:c>
      <x:c r="K6" s="28" t="n">
        <x:v>1</x:v>
      </x:c>
      <x:c r="L6" s="28" t="inlineStr">
        <x:is>
          <x:t xml:space="preserve">None</x:t>
        </x:is>
      </x:c>
      <x:c r="M6" s="28" t="inlineStr">
        <x:is>
          <x:t xml:space="preserve">Merged with semantically similar source findings</x:t>
        </x:is>
      </x:c>
    </x:row>
    <x:row r="7" ht="42" customHeight="1">
      <x:c r="A7" s="28" t="str">
        <x:v>EXAMPLE002 ADaM</x:v>
      </x:c>
      <x:c r="B7" s="28" t="str">
        <x:v>EXAMPLE002</x:v>
      </x:c>
      <x:c r="C7" s="28" t="inlineStr">
        <x:is>
          <x:t xml:space="preserve">ADaM</x:t>
        </x:is>
      </x:c>
      <x:c r="D7" s="28" t="inlineStr">
        <x:is>
          <x:t xml:space="preserve">Candidate</x:t>
        </x:is>
      </x:c>
      <x:c r="E7" s="28" t="str">
        <x:v>C-EXAMPLE002-ADAM-003</x:v>
      </x:c>
      <x:c r="F7" s="28" t="inlineStr">
        <x:is>
          <x:t xml:space="preserve">Add SAS diagnostic options</x:t>
        </x:is>
      </x:c>
      <x:c r="G7" s="28" t="inlineStr">
        <x:is>
          <x:t xml:space="preserve">C-003</x:t>
        </x:is>
      </x:c>
      <x:c r="H7" s="28" t="inlineStr">
        <x:is>
          <x:t xml:space="preserve">Candidate</x:t>
        </x:is>
      </x:c>
      <x:c r="I7" s="28" t="inlineStr">
        <x:is>
          <x:t xml:space="preserve">Add SAS diagnostic options</x:t>
        </x:is>
      </x:c>
      <x:c r="J7" s="28" t="n">
        <x:v>1</x:v>
      </x:c>
      <x:c r="K7" s="28" t="n">
        <x:v>1</x:v>
      </x:c>
      <x:c r="L7" s="28" t="inlineStr">
        <x:is>
          <x:t xml:space="preserve">None</x:t>
        </x:is>
      </x:c>
      <x:c r="M7" s="28" t="inlineStr">
        <x:is>
          <x:t xml:space="preserve">Unique source finding retained</x:t>
        </x:is>
      </x:c>
    </x:row>
    <x:row r="8" ht="42" customHeight="1">
      <x:c r="A8" s="28" t="str">
        <x:v>EXAMPLE002 TLF</x:v>
      </x:c>
      <x:c r="B8" s="28" t="str">
        <x:v>EXAMPLE002</x:v>
      </x:c>
      <x:c r="C8" s="28" t="inlineStr">
        <x:is>
          <x:t xml:space="preserve">TLF</x:t>
        </x:is>
      </x:c>
      <x:c r="D8" s="28" t="inlineStr">
        <x:is>
          <x:t xml:space="preserve">Candidate</x:t>
        </x:is>
      </x:c>
      <x:c r="E8" s="28" t="str">
        <x:v>C-EXAMPLE002-TLF-002</x:v>
      </x:c>
      <x:c r="F8" s="28" t="inlineStr">
        <x:is>
          <x:t xml:space="preserve">Add V9 to ADSL read</x:t>
        </x:is>
      </x:c>
      <x:c r="G8" s="28" t="inlineStr">
        <x:is>
          <x:t xml:space="preserve">C-004</x:t>
        </x:is>
      </x:c>
      <x:c r="H8" s="28" t="inlineStr">
        <x:is>
          <x:t xml:space="preserve">Candidate</x:t>
        </x:is>
      </x:c>
      <x:c r="I8" s="28" t="inlineStr">
        <x:is>
          <x:t xml:space="preserve">Add V9 to ADSL read</x:t>
        </x:is>
      </x:c>
      <x:c r="J8" s="28" t="n">
        <x:v>1</x:v>
      </x:c>
      <x:c r="K8" s="28" t="n">
        <x:v>1</x:v>
      </x:c>
      <x:c r="L8" s="28" t="inlineStr">
        <x:is>
          <x:t xml:space="preserve">None</x:t>
        </x:is>
      </x:c>
      <x:c r="M8" s="28" t="inlineStr">
        <x:is>
          <x:t xml:space="preserve">Unique source finding retained</x:t>
        </x:is>
      </x:c>
    </x:row>
    <x:row r="9" ht="42" customHeight="1">
      <x:c r="A9" s="28" t="str">
        <x:v>EXAMPLE001 TLF</x:v>
      </x:c>
      <x:c r="B9" s="28" t="str">
        <x:v>EXAMPLE001</x:v>
      </x:c>
      <x:c r="C9" s="28" t="inlineStr">
        <x:is>
          <x:t xml:space="preserve">TLF</x:t>
        </x:is>
      </x:c>
      <x:c r="D9" s="28" t="inlineStr">
        <x:is>
          <x:t xml:space="preserve">Candidate</x:t>
        </x:is>
      </x:c>
      <x:c r="E9" s="28" t="str">
        <x:v>C-EXAMPLE001-TLF-004</x:v>
      </x:c>
      <x:c r="F9" s="28" t="inlineStr">
        <x:is>
          <x:t xml:space="preserve">Add study date variables</x:t>
        </x:is>
      </x:c>
      <x:c r="G9" s="28" t="inlineStr">
        <x:is>
          <x:t xml:space="preserve">C-005</x:t>
        </x:is>
      </x:c>
      <x:c r="H9" s="28" t="inlineStr">
        <x:is>
          <x:t xml:space="preserve">Candidate</x:t>
        </x:is>
      </x:c>
      <x:c r="I9" s="28" t="inlineStr">
        <x:is>
          <x:t xml:space="preserve">Add study date variables</x:t>
        </x:is>
      </x:c>
      <x:c r="J9" s="28" t="n">
        <x:v>1</x:v>
      </x:c>
      <x:c r="K9" s="28" t="n">
        <x:v>1</x:v>
      </x:c>
      <x:c r="L9" s="28" t="inlineStr">
        <x:is>
          <x:t xml:space="preserve">None</x:t>
        </x:is>
      </x:c>
      <x:c r="M9" s="28" t="inlineStr">
        <x:is>
          <x:t xml:space="preserve">Unique source finding retained</x:t>
        </x:is>
      </x:c>
    </x:row>
    <x:row r="10" ht="42" customHeight="1">
      <x:c r="A10" s="28" t="str">
        <x:v>EXAMPLE001 ADaM</x:v>
      </x:c>
      <x:c r="B10" s="28" t="str">
        <x:v>EXAMPLE001</x:v>
      </x:c>
      <x:c r="C10" s="28" t="inlineStr">
        <x:is>
          <x:t xml:space="preserve">ADaM</x:t>
        </x:is>
      </x:c>
      <x:c r="D10" s="28" t="inlineStr">
        <x:is>
          <x:t xml:space="preserve">Candidate</x:t>
        </x:is>
      </x:c>
      <x:c r="E10" s="28" t="str">
        <x:v>C-EXAMPLE001-ADAM-003</x:v>
      </x:c>
      <x:c r="F10" s="28" t="inlineStr">
        <x:is>
          <x:t xml:space="preserve">Disable ADLB validation compare</x:t>
        </x:is>
      </x:c>
      <x:c r="G10" s="28" t="inlineStr">
        <x:is>
          <x:t xml:space="preserve">C-006</x:t>
        </x:is>
      </x:c>
      <x:c r="H10" s="28" t="inlineStr">
        <x:is>
          <x:t xml:space="preserve">Candidate</x:t>
        </x:is>
      </x:c>
      <x:c r="I10" s="28" t="inlineStr">
        <x:is>
          <x:t xml:space="preserve">Disable ADLB validation compare</x:t>
        </x:is>
      </x:c>
      <x:c r="J10" s="28" t="n">
        <x:v>1</x:v>
      </x:c>
      <x:c r="K10" s="28" t="n">
        <x:v>1</x:v>
      </x:c>
      <x:c r="L10" s="28" t="inlineStr">
        <x:is>
          <x:t xml:space="preserve">None</x:t>
        </x:is>
      </x:c>
      <x:c r="M10" s="28" t="inlineStr">
        <x:is>
          <x:t xml:space="preserve">Unique source finding retained</x:t>
        </x:is>
      </x:c>
    </x:row>
    <x:row r="11" ht="42" customHeight="1">
      <x:c r="A11" s="28" t="str">
        <x:v>EXAMPLE001 TLF</x:v>
      </x:c>
      <x:c r="B11" s="28" t="str">
        <x:v>EXAMPLE001</x:v>
      </x:c>
      <x:c r="C11" s="28" t="inlineStr">
        <x:is>
          <x:t xml:space="preserve">TLF</x:t>
        </x:is>
      </x:c>
      <x:c r="D11" s="28" t="inlineStr">
        <x:is>
          <x:t xml:space="preserve">Candidate</x:t>
        </x:is>
      </x:c>
      <x:c r="E11" s="28" t="str">
        <x:v>C-EXAMPLE001-TLF-005</x:v>
      </x:c>
      <x:c r="F11" s="28" t="inlineStr">
        <x:is>
          <x:t xml:space="preserve">Disable autoexec MHEADFOOT include</x:t>
        </x:is>
      </x:c>
      <x:c r="G11" s="28" t="inlineStr">
        <x:is>
          <x:t xml:space="preserve">C-007</x:t>
        </x:is>
      </x:c>
      <x:c r="H11" s="28" t="inlineStr">
        <x:is>
          <x:t xml:space="preserve">Candidate</x:t>
        </x:is>
      </x:c>
      <x:c r="I11" s="28" t="inlineStr">
        <x:is>
          <x:t xml:space="preserve">Disable autoexec MHEADFOOT include</x:t>
        </x:is>
      </x:c>
      <x:c r="J11" s="28" t="n">
        <x:v>1</x:v>
      </x:c>
      <x:c r="K11" s="28" t="n">
        <x:v>1</x:v>
      </x:c>
      <x:c r="L11" s="28" t="inlineStr">
        <x:is>
          <x:t xml:space="preserve">None</x:t>
        </x:is>
      </x:c>
      <x:c r="M11" s="28" t="inlineStr">
        <x:is>
          <x:t xml:space="preserve">Unique source finding retained</x:t>
        </x:is>
      </x:c>
    </x:row>
    <x:row r="12" ht="42" customHeight="1">
      <x:c r="A12" s="28" t="str">
        <x:v>EXAMPLE001 SDTM</x:v>
      </x:c>
      <x:c r="B12" s="28" t="str">
        <x:v>EXAMPLE001</x:v>
      </x:c>
      <x:c r="C12" s="28" t="inlineStr">
        <x:is>
          <x:t xml:space="preserve">SDTM</x:t>
        </x:is>
      </x:c>
      <x:c r="D12" s="28" t="inlineStr">
        <x:is>
          <x:t xml:space="preserve">Candidate</x:t>
        </x:is>
      </x:c>
      <x:c r="E12" s="28" t="str">
        <x:v>C-EXAMPLE001-SDTM-004</x:v>
      </x:c>
      <x:c r="F12" s="28" t="inlineStr">
        <x:is>
          <x:t xml:space="preserve">Map validation data path</x:t>
        </x:is>
      </x:c>
      <x:c r="G12" s="28" t="inlineStr">
        <x:is>
          <x:t xml:space="preserve">C-008</x:t>
        </x:is>
      </x:c>
      <x:c r="H12" s="28" t="inlineStr">
        <x:is>
          <x:t xml:space="preserve">Candidate</x:t>
        </x:is>
      </x:c>
      <x:c r="I12" s="28" t="inlineStr">
        <x:is>
          <x:t xml:space="preserve">Map validation data path</x:t>
        </x:is>
      </x:c>
      <x:c r="J12" s="28" t="n">
        <x:v>1</x:v>
      </x:c>
      <x:c r="K12" s="28" t="n">
        <x:v>1</x:v>
      </x:c>
      <x:c r="L12" s="28" t="inlineStr">
        <x:is>
          <x:t xml:space="preserve">None</x:t>
        </x:is>
      </x:c>
      <x:c r="M12" s="28" t="inlineStr">
        <x:is>
          <x:t xml:space="preserve">Unique source finding retained</x:t>
        </x:is>
      </x:c>
    </x:row>
    <x:row r="13" ht="42" customHeight="1">
      <x:c r="A13" s="28" t="str">
        <x:v>EXAMPLE001 SDTM</x:v>
      </x:c>
      <x:c r="B13" s="28" t="str">
        <x:v>EXAMPLE001</x:v>
      </x:c>
      <x:c r="C13" s="28" t="inlineStr">
        <x:is>
          <x:t xml:space="preserve">SDTM</x:t>
        </x:is>
      </x:c>
      <x:c r="D13" s="28" t="inlineStr">
        <x:is>
          <x:t xml:space="preserve">Candidate</x:t>
        </x:is>
      </x:c>
      <x:c r="E13" s="28" t="str">
        <x:v>C-EXAMPLE001-SDTM-003</x:v>
      </x:c>
      <x:c r="F13" s="28" t="inlineStr">
        <x:is>
          <x:t xml:space="preserve">Map validation program path</x:t>
        </x:is>
      </x:c>
      <x:c r="G13" s="28" t="inlineStr">
        <x:is>
          <x:t xml:space="preserve">C-009</x:t>
        </x:is>
      </x:c>
      <x:c r="H13" s="28" t="inlineStr">
        <x:is>
          <x:t xml:space="preserve">Candidate</x:t>
        </x:is>
      </x:c>
      <x:c r="I13" s="28" t="inlineStr">
        <x:is>
          <x:t xml:space="preserve">Map validation program path</x:t>
        </x:is>
      </x:c>
      <x:c r="J13" s="28" t="n">
        <x:v>1</x:v>
      </x:c>
      <x:c r="K13" s="28" t="n">
        <x:v>1</x:v>
      </x:c>
      <x:c r="L13" s="28" t="inlineStr">
        <x:is>
          <x:t xml:space="preserve">None</x:t>
        </x:is>
      </x:c>
      <x:c r="M13" s="28" t="inlineStr">
        <x:is>
          <x:t xml:space="preserve">Unique source finding retained</x:t>
        </x:is>
      </x:c>
    </x:row>
    <x:row r="14" ht="42" customHeight="1">
      <x:c r="A14" s="28" t="str">
        <x:v>EXAMPLE002 TLF</x:v>
      </x:c>
      <x:c r="B14" s="28" t="str">
        <x:v>EXAMPLE002</x:v>
      </x:c>
      <x:c r="C14" s="28" t="inlineStr">
        <x:is>
          <x:t xml:space="preserve">TLF</x:t>
        </x:is>
      </x:c>
      <x:c r="D14" s="28" t="inlineStr">
        <x:is>
          <x:t xml:space="preserve">Candidate</x:t>
        </x:is>
      </x:c>
      <x:c r="E14" s="28" t="str">
        <x:v>C-EXAMPLE002-TLF-003</x:v>
      </x:c>
      <x:c r="F14" s="28" t="inlineStr">
        <x:is>
          <x:t xml:space="preserve">Normalize transpose terminator</x:t>
        </x:is>
      </x:c>
      <x:c r="G14" s="28" t="inlineStr">
        <x:is>
          <x:t xml:space="preserve">C-010</x:t>
        </x:is>
      </x:c>
      <x:c r="H14" s="28" t="inlineStr">
        <x:is>
          <x:t xml:space="preserve">Candidate</x:t>
        </x:is>
      </x:c>
      <x:c r="I14" s="28" t="inlineStr">
        <x:is>
          <x:t xml:space="preserve">Normalize transpose terminator</x:t>
        </x:is>
      </x:c>
      <x:c r="J14" s="28" t="n">
        <x:v>1</x:v>
      </x:c>
      <x:c r="K14" s="28" t="n">
        <x:v>1</x:v>
      </x:c>
      <x:c r="L14" s="28" t="inlineStr">
        <x:is>
          <x:t xml:space="preserve">Conflicted</x:t>
        </x:is>
      </x:c>
      <x:c r="M14" s="28" t="inlineStr">
        <x:is>
          <x:t xml:space="preserve">Unique source finding retained</x:t>
        </x:is>
      </x:c>
    </x:row>
    <x:row r="15" ht="42" customHeight="1">
      <x:c r="A15" s="28" t="str">
        <x:v>EXAMPLE001 TLF</x:v>
      </x:c>
      <x:c r="B15" s="28" t="str">
        <x:v>EXAMPLE001</x:v>
      </x:c>
      <x:c r="C15" s="28" t="inlineStr">
        <x:is>
          <x:t xml:space="preserve">TLF</x:t>
        </x:is>
      </x:c>
      <x:c r="D15" s="28" t="inlineStr">
        <x:is>
          <x:t xml:space="preserve">Candidate</x:t>
        </x:is>
      </x:c>
      <x:c r="E15" s="28" t="str">
        <x:v>C-EXAMPLE001-TLF-001</x:v>
      </x:c>
      <x:c r="F15" s="28" t="inlineStr">
        <x:is>
          <x:t xml:space="preserve">Redirect TLF macro root</x:t>
        </x:is>
      </x:c>
      <x:c r="G15" s="28" t="inlineStr">
        <x:is>
          <x:t xml:space="preserve">C-011</x:t>
        </x:is>
      </x:c>
      <x:c r="H15" s="28" t="inlineStr">
        <x:is>
          <x:t xml:space="preserve">Candidate</x:t>
        </x:is>
      </x:c>
      <x:c r="I15" s="28" t="inlineStr">
        <x:is>
          <x:t xml:space="preserve">Redirect TLF macro root</x:t>
        </x:is>
      </x:c>
      <x:c r="J15" s="28" t="n">
        <x:v>1</x:v>
      </x:c>
      <x:c r="K15" s="28" t="n">
        <x:v>1</x:v>
      </x:c>
      <x:c r="L15" s="28" t="inlineStr">
        <x:is>
          <x:t xml:space="preserve">None</x:t>
        </x:is>
      </x:c>
      <x:c r="M15" s="28" t="inlineStr">
        <x:is>
          <x:t xml:space="preserve">Unique source finding retained</x:t>
        </x:is>
      </x:c>
    </x:row>
    <x:row r="16" ht="42" customHeight="1">
      <x:c r="A16" s="28" t="str">
        <x:v>EXAMPLE001 TLF</x:v>
      </x:c>
      <x:c r="B16" s="28" t="str">
        <x:v>EXAMPLE001</x:v>
      </x:c>
      <x:c r="C16" s="28" t="inlineStr">
        <x:is>
          <x:t xml:space="preserve">TLF</x:t>
        </x:is>
      </x:c>
      <x:c r="D16" s="28" t="inlineStr">
        <x:is>
          <x:t xml:space="preserve">Candidate</x:t>
        </x:is>
      </x:c>
      <x:c r="E16" s="28" t="str">
        <x:v>C-EXAMPLE001-TLF-003</x:v>
      </x:c>
      <x:c r="F16" s="28" t="inlineStr">
        <x:is>
          <x:t xml:space="preserve">Redirect TLF output root</x:t>
        </x:is>
      </x:c>
      <x:c r="G16" s="28" t="inlineStr">
        <x:is>
          <x:t xml:space="preserve">C-012</x:t>
        </x:is>
      </x:c>
      <x:c r="H16" s="28" t="inlineStr">
        <x:is>
          <x:t xml:space="preserve">Candidate</x:t>
        </x:is>
      </x:c>
      <x:c r="I16" s="28" t="inlineStr">
        <x:is>
          <x:t xml:space="preserve">Redirect TLF output root</x:t>
        </x:is>
      </x:c>
      <x:c r="J16" s="28" t="n">
        <x:v>1</x:v>
      </x:c>
      <x:c r="K16" s="28" t="n">
        <x:v>1</x:v>
      </x:c>
      <x:c r="L16" s="28" t="inlineStr">
        <x:is>
          <x:t xml:space="preserve">None</x:t>
        </x:is>
      </x:c>
      <x:c r="M16" s="28" t="inlineStr">
        <x:is>
          <x:t xml:space="preserve">Unique source finding retained</x:t>
        </x:is>
      </x:c>
    </x:row>
    <x:row r="17" ht="42" customHeight="1">
      <x:c r="A17" s="28" t="str">
        <x:v>EXAMPLE001 SDTM</x:v>
      </x:c>
      <x:c r="B17" s="28" t="str">
        <x:v>EXAMPLE001</x:v>
      </x:c>
      <x:c r="C17" s="28" t="inlineStr">
        <x:is>
          <x:t xml:space="preserve">SDTM</x:t>
        </x:is>
      </x:c>
      <x:c r="D17" s="28" t="inlineStr">
        <x:is>
          <x:t xml:space="preserve">Candidate</x:t>
        </x:is>
      </x:c>
      <x:c r="E17" s="28" t="str">
        <x:v>C-EXAMPLE001-SDTM-010</x:v>
      </x:c>
      <x:c r="F17" s="28" t="inlineStr">
        <x:is>
          <x:t xml:space="preserve">Relocate SDTM XPT export</x:t>
        </x:is>
      </x:c>
      <x:c r="G17" s="28" t="inlineStr">
        <x:is>
          <x:t xml:space="preserve">C-013</x:t>
        </x:is>
      </x:c>
      <x:c r="H17" s="28" t="inlineStr">
        <x:is>
          <x:t xml:space="preserve">Candidate</x:t>
        </x:is>
      </x:c>
      <x:c r="I17" s="28" t="inlineStr">
        <x:is>
          <x:t xml:space="preserve">Relocate SDTM XPT export</x:t>
        </x:is>
      </x:c>
      <x:c r="J17" s="28" t="n">
        <x:v>1</x:v>
      </x:c>
      <x:c r="K17" s="28" t="n">
        <x:v>1</x:v>
      </x:c>
      <x:c r="L17" s="28" t="inlineStr">
        <x:is>
          <x:t xml:space="preserve">None</x:t>
        </x:is>
      </x:c>
      <x:c r="M17" s="28" t="inlineStr">
        <x:is>
          <x:t xml:space="preserve">Unique source finding retained</x:t>
        </x:is>
      </x:c>
    </x:row>
    <x:row r="18" ht="42" customHeight="1">
      <x:c r="A18" s="28" t="str">
        <x:v>EXAMPLE002 ADaM</x:v>
      </x:c>
      <x:c r="B18" s="28" t="str">
        <x:v>EXAMPLE002</x:v>
      </x:c>
      <x:c r="C18" s="28" t="inlineStr">
        <x:is>
          <x:t xml:space="preserve">ADaM</x:t>
        </x:is>
      </x:c>
      <x:c r="D18" s="28" t="inlineStr">
        <x:is>
          <x:t xml:space="preserve">Candidate</x:t>
        </x:is>
      </x:c>
      <x:c r="E18" s="28" t="str">
        <x:v>C-EXAMPLE002-ADAM-002</x:v>
      </x:c>
      <x:c r="F18" s="28" t="inlineStr">
        <x:is>
          <x:t xml:space="preserve">Split mixed library input</x:t>
        </x:is>
      </x:c>
      <x:c r="G18" s="28" t="inlineStr">
        <x:is>
          <x:t xml:space="preserve">C-014</x:t>
        </x:is>
      </x:c>
      <x:c r="H18" s="28" t="inlineStr">
        <x:is>
          <x:t xml:space="preserve">Candidate</x:t>
        </x:is>
      </x:c>
      <x:c r="I18" s="28" t="inlineStr">
        <x:is>
          <x:t xml:space="preserve">Split mixed library input</x:t>
        </x:is>
      </x:c>
      <x:c r="J18" s="28" t="n">
        <x:v>1</x:v>
      </x:c>
      <x:c r="K18" s="28" t="n">
        <x:v>1</x:v>
      </x:c>
      <x:c r="L18" s="28" t="inlineStr">
        <x:is>
          <x:t xml:space="preserve">None</x:t>
        </x:is>
      </x:c>
      <x:c r="M18" s="28" t="inlineStr">
        <x:is>
          <x:t xml:space="preserve">Unique source finding retained</x:t>
        </x:is>
      </x:c>
    </x:row>
    <x:row r="19" ht="42" customHeight="1">
      <x:c r="A19" s="28" t="str">
        <x:v>EXAMPLE001 TLF</x:v>
      </x:c>
      <x:c r="B19" s="28" t="str">
        <x:v>EXAMPLE001</x:v>
      </x:c>
      <x:c r="C19" s="28" t="inlineStr">
        <x:is>
          <x:t xml:space="preserve">TLF</x:t>
        </x:is>
      </x:c>
      <x:c r="D19" s="28" t="inlineStr">
        <x:is>
          <x:t xml:space="preserve">Candidate</x:t>
        </x:is>
      </x:c>
      <x:c r="E19" s="28" t="str">
        <x:v>C-EXAMPLE001-TLF-008</x:v>
      </x:c>
      <x:c r="F19" s="28" t="inlineStr">
        <x:is>
          <x:t xml:space="preserve">Suffix death test RTF</x:t>
        </x:is>
      </x:c>
      <x:c r="G19" s="28" t="inlineStr">
        <x:is>
          <x:t xml:space="preserve">C-015</x:t>
        </x:is>
      </x:c>
      <x:c r="H19" s="28" t="inlineStr">
        <x:is>
          <x:t xml:space="preserve">Candidate</x:t>
        </x:is>
      </x:c>
      <x:c r="I19" s="28" t="inlineStr">
        <x:is>
          <x:t xml:space="preserve">Suffix death test RTF</x:t>
        </x:is>
      </x:c>
      <x:c r="J19" s="28" t="n">
        <x:v>1</x:v>
      </x:c>
      <x:c r="K19" s="28" t="n">
        <x:v>1</x:v>
      </x:c>
      <x:c r="L19" s="28" t="inlineStr">
        <x:is>
          <x:t xml:space="preserve">None</x:t>
        </x:is>
      </x:c>
      <x:c r="M19" s="28" t="inlineStr">
        <x:is>
          <x:t xml:space="preserve">Unique source finding retained</x:t>
        </x:is>
      </x:c>
    </x:row>
    <x:row r="20" ht="42" customHeight="1">
      <x:c r="A20" s="28" t="str">
        <x:v>EXAMPLE001 TLF</x:v>
      </x:c>
      <x:c r="B20" s="28" t="str">
        <x:v>EXAMPLE001</x:v>
      </x:c>
      <x:c r="C20" s="28" t="inlineStr">
        <x:is>
          <x:t xml:space="preserve">TLF</x:t>
        </x:is>
      </x:c>
      <x:c r="D20" s="28" t="inlineStr">
        <x:is>
          <x:t xml:space="preserve">Candidate</x:t>
        </x:is>
      </x:c>
      <x:c r="E20" s="28" t="str">
        <x:v>C-EXAMPLE001-TLF-009</x:v>
      </x:c>
      <x:c r="F20" s="28" t="inlineStr">
        <x:is>
          <x:t xml:space="preserve">Switch LB validation source</x:t>
        </x:is>
      </x:c>
      <x:c r="G20" s="28" t="inlineStr">
        <x:is>
          <x:t xml:space="preserve">C-016</x:t>
        </x:is>
      </x:c>
      <x:c r="H20" s="28" t="inlineStr">
        <x:is>
          <x:t xml:space="preserve">Candidate</x:t>
        </x:is>
      </x:c>
      <x:c r="I20" s="28" t="inlineStr">
        <x:is>
          <x:t xml:space="preserve">Switch LB validation source</x:t>
        </x:is>
      </x:c>
      <x:c r="J20" s="28" t="n">
        <x:v>1</x:v>
      </x:c>
      <x:c r="K20" s="28" t="n">
        <x:v>1</x:v>
      </x:c>
      <x:c r="L20" s="28" t="inlineStr">
        <x:is>
          <x:t xml:space="preserve">None</x:t>
        </x:is>
      </x:c>
      <x:c r="M20" s="28" t="inlineStr">
        <x:is>
          <x:t xml:space="preserve">Unique source finding retained</x:t>
        </x:is>
      </x:c>
    </x:row>
    <x:row r="21" ht="42" customHeight="1">
      <x:c r="A21" s="28" t="str">
        <x:v>EXAMPLE002 ADaM</x:v>
      </x:c>
      <x:c r="B21" s="28" t="str">
        <x:v>EXAMPLE002</x:v>
      </x:c>
      <x:c r="C21" s="28" t="inlineStr">
        <x:is>
          <x:t xml:space="preserve">ADaM</x:t>
        </x:is>
      </x:c>
      <x:c r="D21" s="28" t="inlineStr">
        <x:is>
          <x:t xml:space="preserve">Rule</x:t>
        </x:is>
      </x:c>
      <x:c r="E21" s="28" t="str">
        <x:v>R-EXAMPLE002-ADAM-001</x:v>
      </x:c>
      <x:c r="F21" s="28" t="inlineStr">
        <x:is>
          <x:t xml:space="preserve">Include SCE macro autoexec</x:t>
        </x:is>
      </x:c>
      <x:c r="G21" s="28" t="inlineStr">
        <x:is>
          <x:t xml:space="preserve">R-001</x:t>
        </x:is>
      </x:c>
      <x:c r="H21" s="28" t="inlineStr">
        <x:is>
          <x:t xml:space="preserve">Rule</x:t>
        </x:is>
      </x:c>
      <x:c r="I21" s="28" t="inlineStr">
        <x:is>
          <x:t xml:space="preserve">Include SCE macro autoexec</x:t>
        </x:is>
      </x:c>
      <x:c r="J21" s="28" t="n">
        <x:v>23</x:v>
      </x:c>
      <x:c r="K21" s="28" t="n">
        <x:v>23</x:v>
      </x:c>
      <x:c r="L21" s="28" t="inlineStr">
        <x:is>
          <x:t xml:space="preserve">None</x:t>
        </x:is>
      </x:c>
      <x:c r="M21" s="28" t="inlineStr">
        <x:is>
          <x:t xml:space="preserve">Merged with semantically similar source findings</x:t>
        </x:is>
      </x:c>
    </x:row>
    <x:row r="22" ht="42" customHeight="1">
      <x:c r="A22" s="28" t="str">
        <x:v>EXAMPLE002 SDTM</x:v>
      </x:c>
      <x:c r="B22" s="28" t="str">
        <x:v>EXAMPLE002</x:v>
      </x:c>
      <x:c r="C22" s="28" t="inlineStr">
        <x:is>
          <x:t xml:space="preserve">SDTM</x:t>
        </x:is>
      </x:c>
      <x:c r="D22" s="28" t="inlineStr">
        <x:is>
          <x:t xml:space="preserve">Rule</x:t>
        </x:is>
      </x:c>
      <x:c r="E22" s="28" t="str">
        <x:v>R-EXAMPLE002-SDTM-001</x:v>
      </x:c>
      <x:c r="F22" s="28" t="inlineStr">
        <x:is>
          <x:t xml:space="preserve">Include SCE macro autoexec</x:t>
        </x:is>
      </x:c>
      <x:c r="G22" s="28" t="inlineStr">
        <x:is>
          <x:t xml:space="preserve">R-001</x:t>
        </x:is>
      </x:c>
      <x:c r="H22" s="28" t="inlineStr">
        <x:is>
          <x:t xml:space="preserve">Rule</x:t>
        </x:is>
      </x:c>
      <x:c r="I22" s="28" t="inlineStr">
        <x:is>
          <x:t xml:space="preserve">Include SCE macro autoexec</x:t>
        </x:is>
      </x:c>
      <x:c r="J22" s="28" t="n">
        <x:v>32</x:v>
      </x:c>
      <x:c r="K22" s="28" t="n">
        <x:v>32</x:v>
      </x:c>
      <x:c r="L22" s="28" t="inlineStr">
        <x:is>
          <x:t xml:space="preserve">None</x:t>
        </x:is>
      </x:c>
      <x:c r="M22" s="28" t="inlineStr">
        <x:is>
          <x:t xml:space="preserve">Merged with semantically similar source findings</x:t>
        </x:is>
      </x:c>
    </x:row>
    <x:row r="23" ht="42" customHeight="1">
      <x:c r="A23" s="28" t="str">
        <x:v>EXAMPLE002 TLF</x:v>
      </x:c>
      <x:c r="B23" s="28" t="str">
        <x:v>EXAMPLE002</x:v>
      </x:c>
      <x:c r="C23" s="28" t="inlineStr">
        <x:is>
          <x:t xml:space="preserve">TLF</x:t>
        </x:is>
      </x:c>
      <x:c r="D23" s="28" t="inlineStr">
        <x:is>
          <x:t xml:space="preserve">Rule</x:t>
        </x:is>
      </x:c>
      <x:c r="E23" s="28" t="str">
        <x:v>R-EXAMPLE002-TLF-001</x:v>
      </x:c>
      <x:c r="F23" s="28" t="inlineStr">
        <x:is>
          <x:t xml:space="preserve">Include SCE macro autoexec</x:t>
        </x:is>
      </x:c>
      <x:c r="G23" s="28" t="inlineStr">
        <x:is>
          <x:t xml:space="preserve">R-001</x:t>
        </x:is>
      </x:c>
      <x:c r="H23" s="28" t="inlineStr">
        <x:is>
          <x:t xml:space="preserve">Rule</x:t>
        </x:is>
      </x:c>
      <x:c r="I23" s="28" t="inlineStr">
        <x:is>
          <x:t xml:space="preserve">Include SCE macro autoexec</x:t>
        </x:is>
      </x:c>
      <x:c r="J23" s="28" t="n">
        <x:v>29</x:v>
      </x:c>
      <x:c r="K23" s="28" t="n">
        <x:v>29</x:v>
      </x:c>
      <x:c r="L23" s="28" t="inlineStr">
        <x:is>
          <x:t xml:space="preserve">Conflicted</x:t>
        </x:is>
      </x:c>
      <x:c r="M23" s="28" t="inlineStr">
        <x:is>
          <x:t xml:space="preserve">Merged with semantically similar source findings</x:t>
        </x:is>
      </x:c>
    </x:row>
    <x:row r="24" ht="42" customHeight="1">
      <x:c r="A24" s="28" t="str">
        <x:v>EXAMPLE002 ADaM</x:v>
      </x:c>
      <x:c r="B24" s="28" t="str">
        <x:v>EXAMPLE002</x:v>
      </x:c>
      <x:c r="C24" s="28" t="inlineStr">
        <x:is>
          <x:t xml:space="preserve">ADaM</x:t>
        </x:is>
      </x:c>
      <x:c r="D24" s="28" t="inlineStr">
        <x:is>
          <x:t xml:space="preserve">Rule</x:t>
        </x:is>
      </x:c>
      <x:c r="E24" s="28" t="str">
        <x:v>R-EXAMPLE002-ADAM-002</x:v>
      </x:c>
      <x:c r="F24" s="28" t="inlineStr">
        <x:is>
          <x:t xml:space="preserve">Redirect ADaM input library</x:t>
        </x:is>
      </x:c>
      <x:c r="G24" s="28" t="inlineStr">
        <x:is>
          <x:t xml:space="preserve">R-002</x:t>
        </x:is>
      </x:c>
      <x:c r="H24" s="28" t="inlineStr">
        <x:is>
          <x:t xml:space="preserve">Rule</x:t>
        </x:is>
      </x:c>
      <x:c r="I24" s="28" t="str">
        <x:v>Redirect ADaM UTIL_GETDATA libref</x:v>
      </x:c>
      <x:c r="J24" s="28" t="n">
        <x:v>28</x:v>
      </x:c>
      <x:c r="K24" s="28" t="n">
        <x:v>18</x:v>
      </x:c>
      <x:c r="L24" s="28" t="inlineStr">
        <x:is>
          <x:t xml:space="preserve">Conflicted</x:t>
        </x:is>
      </x:c>
      <x:c r="M24" s="28" t="inlineStr">
        <x:is>
          <x:t xml:space="preserve">Merged with semantically similar source findings</x:t>
        </x:is>
      </x:c>
    </x:row>
    <x:row r="25" ht="42" customHeight="1">
      <x:c r="A25" s="28" t="str">
        <x:v>EXAMPLE002 TLF</x:v>
      </x:c>
      <x:c r="B25" s="28" t="str">
        <x:v>EXAMPLE002</x:v>
      </x:c>
      <x:c r="C25" s="28" t="inlineStr">
        <x:is>
          <x:t xml:space="preserve">TLF</x:t>
        </x:is>
      </x:c>
      <x:c r="D25" s="28" t="inlineStr">
        <x:is>
          <x:t xml:space="preserve">Rule</x:t>
        </x:is>
      </x:c>
      <x:c r="E25" s="28" t="str">
        <x:v>R-EXAMPLE002-TLF-002</x:v>
      </x:c>
      <x:c r="F25" s="28" t="str">
        <x:v>Redirect ADaM UTIL_GETDATA libref</x:v>
      </x:c>
      <x:c r="G25" s="28" t="inlineStr">
        <x:is>
          <x:t xml:space="preserve">R-002</x:t>
        </x:is>
      </x:c>
      <x:c r="H25" s="28" t="inlineStr">
        <x:is>
          <x:t xml:space="preserve">Rule</x:t>
        </x:is>
      </x:c>
      <x:c r="I25" s="28" t="str">
        <x:v>Redirect ADaM UTIL_GETDATA libref</x:v>
      </x:c>
      <x:c r="J25" s="28" t="n">
        <x:v>42</x:v>
      </x:c>
      <x:c r="K25" s="28" t="n">
        <x:v>25</x:v>
      </x:c>
      <x:c r="L25" s="28" t="inlineStr">
        <x:is>
          <x:t xml:space="preserve">Conflicted</x:t>
        </x:is>
      </x:c>
      <x:c r="M25" s="28" t="inlineStr">
        <x:is>
          <x:t xml:space="preserve">Merged with semantically similar source findings</x:t>
        </x:is>
      </x:c>
    </x:row>
    <x:row r="26" ht="42" customHeight="1">
      <x:c r="A26" s="28" t="str">
        <x:v>EXAMPLE001 ADaM</x:v>
      </x:c>
      <x:c r="B26" s="28" t="str">
        <x:v>EXAMPLE001</x:v>
      </x:c>
      <x:c r="C26" s="28" t="inlineStr">
        <x:is>
          <x:t xml:space="preserve">ADaM</x:t>
        </x:is>
      </x:c>
      <x:c r="D26" s="28" t="inlineStr">
        <x:is>
          <x:t xml:space="preserve">Rule</x:t>
        </x:is>
      </x:c>
      <x:c r="E26" s="28" t="str">
        <x:v>R-EXAMPLE001-ADAM-001</x:v>
      </x:c>
      <x:c r="F26" s="28" t="inlineStr">
        <x:is>
          <x:t xml:space="preserve">Disable legacy INIT call</x:t>
        </x:is>
      </x:c>
      <x:c r="G26" s="28" t="inlineStr">
        <x:is>
          <x:t xml:space="preserve">R-003</x:t>
        </x:is>
      </x:c>
      <x:c r="H26" s="28" t="inlineStr">
        <x:is>
          <x:t xml:space="preserve">Rule</x:t>
        </x:is>
      </x:c>
      <x:c r="I26" s="28" t="inlineStr">
        <x:is>
          <x:t xml:space="preserve">Disable legacy INIT call</x:t>
        </x:is>
      </x:c>
      <x:c r="J26" s="28" t="n">
        <x:v>8</x:v>
      </x:c>
      <x:c r="K26" s="28" t="n">
        <x:v>8</x:v>
      </x:c>
      <x:c r="L26" s="28" t="inlineStr">
        <x:is>
          <x:t xml:space="preserve">None</x:t>
        </x:is>
      </x:c>
      <x:c r="M26" s="28" t="inlineStr">
        <x:is>
          <x:t xml:space="preserve">Merged with semantically similar source findings</x:t>
        </x:is>
      </x:c>
    </x:row>
    <x:row r="27" ht="42" customHeight="1">
      <x:c r="A27" s="28" t="str">
        <x:v>EXAMPLE001 SDTM</x:v>
      </x:c>
      <x:c r="B27" s="28" t="str">
        <x:v>EXAMPLE001</x:v>
      </x:c>
      <x:c r="C27" s="28" t="inlineStr">
        <x:is>
          <x:t xml:space="preserve">SDTM</x:t>
        </x:is>
      </x:c>
      <x:c r="D27" s="28" t="inlineStr">
        <x:is>
          <x:t xml:space="preserve">Rule</x:t>
        </x:is>
      </x:c>
      <x:c r="E27" s="28" t="str">
        <x:v>R-EXAMPLE001-SDTM-001</x:v>
      </x:c>
      <x:c r="F27" s="28" t="inlineStr">
        <x:is>
          <x:t xml:space="preserve">Disable legacy INIT call</x:t>
        </x:is>
      </x:c>
      <x:c r="G27" s="28" t="inlineStr">
        <x:is>
          <x:t xml:space="preserve">R-003</x:t>
        </x:is>
      </x:c>
      <x:c r="H27" s="28" t="inlineStr">
        <x:is>
          <x:t xml:space="preserve">Rule</x:t>
        </x:is>
      </x:c>
      <x:c r="I27" s="28" t="inlineStr">
        <x:is>
          <x:t xml:space="preserve">Disable legacy INIT call</x:t>
        </x:is>
      </x:c>
      <x:c r="J27" s="28" t="n">
        <x:v>35</x:v>
      </x:c>
      <x:c r="K27" s="28" t="n">
        <x:v>35</x:v>
      </x:c>
      <x:c r="L27" s="28" t="inlineStr">
        <x:is>
          <x:t xml:space="preserve">Conflicted</x:t>
        </x:is>
      </x:c>
      <x:c r="M27" s="28" t="inlineStr">
        <x:is>
          <x:t xml:space="preserve">Merged with semantically similar source findings</x:t>
        </x:is>
      </x:c>
    </x:row>
    <x:row r="28" ht="42" customHeight="1">
      <x:c r="A28" s="28" t="str">
        <x:v>EXAMPLE001 TLF</x:v>
      </x:c>
      <x:c r="B28" s="28" t="str">
        <x:v>EXAMPLE001</x:v>
      </x:c>
      <x:c r="C28" s="28" t="inlineStr">
        <x:is>
          <x:t xml:space="preserve">TLF</x:t>
        </x:is>
      </x:c>
      <x:c r="D28" s="28" t="inlineStr">
        <x:is>
          <x:t xml:space="preserve">Rule</x:t>
        </x:is>
      </x:c>
      <x:c r="E28" s="28" t="str">
        <x:v>R-EXAMPLE001-TLF-001</x:v>
      </x:c>
      <x:c r="F28" s="28" t="inlineStr">
        <x:is>
          <x:t xml:space="preserve">Disable legacy INIT call</x:t>
        </x:is>
      </x:c>
      <x:c r="G28" s="28" t="inlineStr">
        <x:is>
          <x:t xml:space="preserve">R-003</x:t>
        </x:is>
      </x:c>
      <x:c r="H28" s="28" t="inlineStr">
        <x:is>
          <x:t xml:space="preserve">Rule</x:t>
        </x:is>
      </x:c>
      <x:c r="I28" s="28" t="inlineStr">
        <x:is>
          <x:t xml:space="preserve">Disable legacy INIT call</x:t>
        </x:is>
      </x:c>
      <x:c r="J28" s="28" t="n">
        <x:v>21</x:v>
      </x:c>
      <x:c r="K28" s="28" t="n">
        <x:v>21</x:v>
      </x:c>
      <x:c r="L28" s="28" t="inlineStr">
        <x:is>
          <x:t xml:space="preserve">Conflicted</x:t>
        </x:is>
      </x:c>
      <x:c r="M28" s="28" t="inlineStr">
        <x:is>
          <x:t xml:space="preserve">Merged with semantically similar source findings</x:t>
        </x:is>
      </x:c>
    </x:row>
    <x:row r="29" ht="42" customHeight="1">
      <x:c r="A29" s="28" t="str">
        <x:v>EXAMPLE002 ADaM</x:v>
      </x:c>
      <x:c r="B29" s="28" t="str">
        <x:v>EXAMPLE002</x:v>
      </x:c>
      <x:c r="C29" s="28" t="inlineStr">
        <x:is>
          <x:t xml:space="preserve">ADaM</x:t>
        </x:is>
      </x:c>
      <x:c r="D29" s="28" t="inlineStr">
        <x:is>
          <x:t xml:space="preserve">Rule</x:t>
        </x:is>
      </x:c>
      <x:c r="E29" s="28" t="str">
        <x:v>R-EXAMPLE002-ADAM-004</x:v>
      </x:c>
      <x:c r="F29" s="28" t="inlineStr">
        <x:is>
          <x:t xml:space="preserve">Route SAS output to ADaM</x:t>
        </x:is>
      </x:c>
      <x:c r="G29" s="28" t="inlineStr">
        <x:is>
          <x:t xml:space="preserve">R-004</x:t>
        </x:is>
      </x:c>
      <x:c r="H29" s="28" t="inlineStr">
        <x:is>
          <x:t xml:space="preserve">Rule</x:t>
        </x:is>
      </x:c>
      <x:c r="I29" s="28" t="inlineStr">
        <x:is>
          <x:t xml:space="preserve">Route ADaM outputs explicitly</x:t>
        </x:is>
      </x:c>
      <x:c r="J29" s="28" t="n">
        <x:v>23</x:v>
      </x:c>
      <x:c r="K29" s="28" t="n">
        <x:v>23</x:v>
      </x:c>
      <x:c r="L29" s="28" t="inlineStr">
        <x:is>
          <x:t xml:space="preserve">Conflicted</x:t>
        </x:is>
      </x:c>
      <x:c r="M29" s="28" t="inlineStr">
        <x:is>
          <x:t xml:space="preserve">Merged with semantically similar source findings</x:t>
        </x:is>
      </x:c>
    </x:row>
    <x:row r="30" ht="42" customHeight="1">
      <x:c r="A30" s="28" t="str">
        <x:v>EXAMPLE002 ADaM</x:v>
      </x:c>
      <x:c r="B30" s="28" t="str">
        <x:v>EXAMPLE002</x:v>
      </x:c>
      <x:c r="C30" s="28" t="inlineStr">
        <x:is>
          <x:t xml:space="preserve">ADaM</x:t>
        </x:is>
      </x:c>
      <x:c r="D30" s="28" t="inlineStr">
        <x:is>
          <x:t xml:space="preserve">Rule</x:t>
        </x:is>
      </x:c>
      <x:c r="E30" s="28" t="str">
        <x:v>R-EXAMPLE002-ADAM-005</x:v>
      </x:c>
      <x:c r="F30" s="28" t="inlineStr">
        <x:is>
          <x:t xml:space="preserve">Route XPT output to ADaM</x:t>
        </x:is>
      </x:c>
      <x:c r="G30" s="28" t="inlineStr">
        <x:is>
          <x:t xml:space="preserve">R-004</x:t>
        </x:is>
      </x:c>
      <x:c r="H30" s="28" t="inlineStr">
        <x:is>
          <x:t xml:space="preserve">Rule</x:t>
        </x:is>
      </x:c>
      <x:c r="I30" s="28" t="inlineStr">
        <x:is>
          <x:t xml:space="preserve">Route ADaM outputs explicitly</x:t>
        </x:is>
      </x:c>
      <x:c r="J30" s="28" t="n">
        <x:v>23</x:v>
      </x:c>
      <x:c r="K30" s="28" t="n">
        <x:v>23</x:v>
      </x:c>
      <x:c r="L30" s="28" t="inlineStr">
        <x:is>
          <x:t xml:space="preserve">Conflicted</x:t>
        </x:is>
      </x:c>
      <x:c r="M30" s="28" t="inlineStr">
        <x:is>
          <x:t xml:space="preserve">Merged with semantically similar source findings</x:t>
        </x:is>
      </x:c>
    </x:row>
    <x:row r="31" ht="42" customHeight="1">
      <x:c r="A31" s="28" t="str">
        <x:v>EXAMPLE001 ADaM</x:v>
      </x:c>
      <x:c r="B31" s="28" t="str">
        <x:v>EXAMPLE001</x:v>
      </x:c>
      <x:c r="C31" s="28" t="inlineStr">
        <x:is>
          <x:t xml:space="preserve">ADaM</x:t>
        </x:is>
      </x:c>
      <x:c r="D31" s="28" t="inlineStr">
        <x:is>
          <x:t xml:space="preserve">Rule</x:t>
        </x:is>
      </x:c>
      <x:c r="E31" s="28" t="str">
        <x:v>R-EXAMPLE001-ADAM-003</x:v>
      </x:c>
      <x:c r="F31" s="28" t="inlineStr">
        <x:is>
          <x:t xml:space="preserve">Include SCE study autoexec</x:t>
        </x:is>
      </x:c>
      <x:c r="G31" s="28" t="inlineStr">
        <x:is>
          <x:t xml:space="preserve">R-005</x:t>
        </x:is>
      </x:c>
      <x:c r="H31" s="28" t="inlineStr">
        <x:is>
          <x:t xml:space="preserve">Rule</x:t>
        </x:is>
      </x:c>
      <x:c r="I31" s="28" t="inlineStr">
        <x:is>
          <x:t xml:space="preserve">Use SCE SDTM autoexec</x:t>
        </x:is>
      </x:c>
      <x:c r="J31" s="28" t="n">
        <x:v>8</x:v>
      </x:c>
      <x:c r="K31" s="28" t="n">
        <x:v>8</x:v>
      </x:c>
      <x:c r="L31" s="28" t="inlineStr">
        <x:is>
          <x:t xml:space="preserve">None</x:t>
        </x:is>
      </x:c>
      <x:c r="M31" s="28" t="inlineStr">
        <x:is>
          <x:t xml:space="preserve">Merged with semantically similar source findings</x:t>
        </x:is>
      </x:c>
    </x:row>
    <x:row r="32" ht="42" customHeight="1">
      <x:c r="A32" s="28" t="str">
        <x:v>EXAMPLE001 SDTM</x:v>
      </x:c>
      <x:c r="B32" s="28" t="str">
        <x:v>EXAMPLE001</x:v>
      </x:c>
      <x:c r="C32" s="28" t="inlineStr">
        <x:is>
          <x:t xml:space="preserve">SDTM</x:t>
        </x:is>
      </x:c>
      <x:c r="D32" s="28" t="inlineStr">
        <x:is>
          <x:t xml:space="preserve">Rule</x:t>
        </x:is>
      </x:c>
      <x:c r="E32" s="28" t="str">
        <x:v>R-EXAMPLE001-SDTM-002</x:v>
      </x:c>
      <x:c r="F32" s="28" t="inlineStr">
        <x:is>
          <x:t xml:space="preserve">Redirect SDTM autoexec include</x:t>
        </x:is>
      </x:c>
      <x:c r="G32" s="28" t="inlineStr">
        <x:is>
          <x:t xml:space="preserve">R-005</x:t>
        </x:is>
      </x:c>
      <x:c r="H32" s="28" t="inlineStr">
        <x:is>
          <x:t xml:space="preserve">Rule</x:t>
        </x:is>
      </x:c>
      <x:c r="I32" s="28" t="inlineStr">
        <x:is>
          <x:t xml:space="preserve">Use SCE SDTM autoexec</x:t>
        </x:is>
      </x:c>
      <x:c r="J32" s="28" t="n">
        <x:v>34</x:v>
      </x:c>
      <x:c r="K32" s="28" t="n">
        <x:v>34</x:v>
      </x:c>
      <x:c r="L32" s="28" t="inlineStr">
        <x:is>
          <x:t xml:space="preserve">Conflicted</x:t>
        </x:is>
      </x:c>
      <x:c r="M32" s="28" t="inlineStr">
        <x:is>
          <x:t xml:space="preserve">Merged with semantically similar source findings</x:t>
        </x:is>
      </x:c>
    </x:row>
    <x:row r="33" ht="42" customHeight="1">
      <x:c r="A33" s="28" t="str">
        <x:v>EXAMPLE001 TLF</x:v>
      </x:c>
      <x:c r="B33" s="28" t="str">
        <x:v>EXAMPLE001</x:v>
      </x:c>
      <x:c r="C33" s="28" t="inlineStr">
        <x:is>
          <x:t xml:space="preserve">TLF</x:t>
        </x:is>
      </x:c>
      <x:c r="D33" s="28" t="inlineStr">
        <x:is>
          <x:t xml:space="preserve">Rule</x:t>
        </x:is>
      </x:c>
      <x:c r="E33" s="28" t="str">
        <x:v>R-EXAMPLE001-TLF-008</x:v>
      </x:c>
      <x:c r="F33" s="28" t="inlineStr">
        <x:is>
          <x:t xml:space="preserve">Include SDTM study autoexec</x:t>
        </x:is>
      </x:c>
      <x:c r="G33" s="28" t="inlineStr">
        <x:is>
          <x:t xml:space="preserve">R-005</x:t>
        </x:is>
      </x:c>
      <x:c r="H33" s="28" t="inlineStr">
        <x:is>
          <x:t xml:space="preserve">Rule</x:t>
        </x:is>
      </x:c>
      <x:c r="I33" s="28" t="inlineStr">
        <x:is>
          <x:t xml:space="preserve">Use SCE SDTM autoexec</x:t>
        </x:is>
      </x:c>
      <x:c r="J33" s="28" t="n">
        <x:v>2</x:v>
      </x:c>
      <x:c r="K33" s="28" t="n">
        <x:v>2</x:v>
      </x:c>
      <x:c r="L33" s="28" t="inlineStr">
        <x:is>
          <x:t xml:space="preserve">None</x:t>
        </x:is>
      </x:c>
      <x:c r="M33" s="28" t="inlineStr">
        <x:is>
          <x:t xml:space="preserve">Merged with semantically similar source findings</x:t>
        </x:is>
      </x:c>
    </x:row>
    <x:row r="34" ht="42" customHeight="1">
      <x:c r="A34" s="28" t="str">
        <x:v>EXAMPLE002 SDTM</x:v>
      </x:c>
      <x:c r="B34" s="28" t="str">
        <x:v>EXAMPLE002</x:v>
      </x:c>
      <x:c r="C34" s="28" t="inlineStr">
        <x:is>
          <x:t xml:space="preserve">SDTM</x:t>
        </x:is>
      </x:c>
      <x:c r="D34" s="28" t="inlineStr">
        <x:is>
          <x:t xml:space="preserve">Rule</x:t>
        </x:is>
      </x:c>
      <x:c r="E34" s="28" t="str">
        <x:v>R-EXAMPLE002-SDTM-008</x:v>
      </x:c>
      <x:c r="F34" s="28" t="inlineStr">
        <x:is>
          <x:t xml:space="preserve">Disable legacy XPT resizing</x:t>
        </x:is>
      </x:c>
      <x:c r="G34" s="28" t="inlineStr">
        <x:is>
          <x:t xml:space="preserve">R-006</x:t>
        </x:is>
      </x:c>
      <x:c r="H34" s="28" t="inlineStr">
        <x:is>
          <x:t xml:space="preserve">Rule</x:t>
        </x:is>
      </x:c>
      <x:c r="I34" s="28" t="inlineStr">
        <x:is>
          <x:t xml:space="preserve">Disable legacy XPT resizing</x:t>
        </x:is>
      </x:c>
      <x:c r="J34" s="28" t="n">
        <x:v>27</x:v>
      </x:c>
      <x:c r="K34" s="28" t="n">
        <x:v>15</x:v>
      </x:c>
      <x:c r="L34" s="28" t="inlineStr">
        <x:is>
          <x:t xml:space="preserve">Conflicted</x:t>
        </x:is>
      </x:c>
      <x:c r="M34" s="28" t="inlineStr">
        <x:is>
          <x:t xml:space="preserve">Unique source finding retained</x:t>
        </x:is>
      </x:c>
    </x:row>
    <x:row r="35" ht="42" customHeight="1">
      <x:c r="A35" s="28" t="str">
        <x:v>EXAMPLE001 ADaM</x:v>
      </x:c>
      <x:c r="B35" s="28" t="str">
        <x:v>EXAMPLE001</x:v>
      </x:c>
      <x:c r="C35" s="28" t="inlineStr">
        <x:is>
          <x:t xml:space="preserve">ADaM</x:t>
        </x:is>
      </x:c>
      <x:c r="D35" s="28" t="inlineStr">
        <x:is>
          <x:t xml:space="preserve">Rule</x:t>
        </x:is>
      </x:c>
      <x:c r="E35" s="28" t="str">
        <x:v>R-EXAMPLE001-ADAM-002</x:v>
      </x:c>
      <x:c r="F35" s="28" t="inlineStr">
        <x:is>
          <x:t xml:space="preserve">Disable legacy SETUPANL call</x:t>
        </x:is>
      </x:c>
      <x:c r="G35" s="28" t="inlineStr">
        <x:is>
          <x:t xml:space="preserve">R-007</x:t>
        </x:is>
      </x:c>
      <x:c r="H35" s="28" t="inlineStr">
        <x:is>
          <x:t xml:space="preserve">Rule</x:t>
        </x:is>
      </x:c>
      <x:c r="I35" s="28" t="inlineStr">
        <x:is>
          <x:t xml:space="preserve">Disable legacy SETUPANL call</x:t>
        </x:is>
      </x:c>
      <x:c r="J35" s="28" t="n">
        <x:v>7</x:v>
      </x:c>
      <x:c r="K35" s="28" t="n">
        <x:v>7</x:v>
      </x:c>
      <x:c r="L35" s="28" t="inlineStr">
        <x:is>
          <x:t xml:space="preserve">Conflicted</x:t>
        </x:is>
      </x:c>
      <x:c r="M35" s="28" t="inlineStr">
        <x:is>
          <x:t xml:space="preserve">Merged with semantically similar source findings</x:t>
        </x:is>
      </x:c>
    </x:row>
    <x:row r="36" ht="42" customHeight="1">
      <x:c r="A36" s="28" t="str">
        <x:v>EXAMPLE001 TLF</x:v>
      </x:c>
      <x:c r="B36" s="28" t="str">
        <x:v>EXAMPLE001</x:v>
      </x:c>
      <x:c r="C36" s="28" t="inlineStr">
        <x:is>
          <x:t xml:space="preserve">TLF</x:t>
        </x:is>
      </x:c>
      <x:c r="D36" s="28" t="inlineStr">
        <x:is>
          <x:t xml:space="preserve">Rule</x:t>
        </x:is>
      </x:c>
      <x:c r="E36" s="28" t="str">
        <x:v>R-EXAMPLE001-TLF-002</x:v>
      </x:c>
      <x:c r="F36" s="28" t="inlineStr">
        <x:is>
          <x:t xml:space="preserve">Disable legacy SETUPANL call</x:t>
        </x:is>
      </x:c>
      <x:c r="G36" s="28" t="inlineStr">
        <x:is>
          <x:t xml:space="preserve">R-007</x:t>
        </x:is>
      </x:c>
      <x:c r="H36" s="28" t="inlineStr">
        <x:is>
          <x:t xml:space="preserve">Rule</x:t>
        </x:is>
      </x:c>
      <x:c r="I36" s="28" t="inlineStr">
        <x:is>
          <x:t xml:space="preserve">Disable legacy SETUPANL call</x:t>
        </x:is>
      </x:c>
      <x:c r="J36" s="28" t="n">
        <x:v>19</x:v>
      </x:c>
      <x:c r="K36" s="28" t="n">
        <x:v>19</x:v>
      </x:c>
      <x:c r="L36" s="28" t="inlineStr">
        <x:is>
          <x:t xml:space="preserve">Conflicted</x:t>
        </x:is>
      </x:c>
      <x:c r="M36" s="28" t="inlineStr">
        <x:is>
          <x:t xml:space="preserve">Merged with semantically similar source findings</x:t>
        </x:is>
      </x:c>
    </x:row>
    <x:row r="37" ht="42" customHeight="1">
      <x:c r="A37" s="28" t="str">
        <x:v>EXAMPLE001 TLF</x:v>
      </x:c>
      <x:c r="B37" s="28" t="str">
        <x:v>EXAMPLE001</x:v>
      </x:c>
      <x:c r="C37" s="28" t="inlineStr">
        <x:is>
          <x:t xml:space="preserve">TLF</x:t>
        </x:is>
      </x:c>
      <x:c r="D37" s="28" t="inlineStr">
        <x:is>
          <x:t xml:space="preserve">Rule</x:t>
        </x:is>
      </x:c>
      <x:c r="E37" s="28" t="str">
        <x:v>R-EXAMPLE001-TLF-006</x:v>
      </x:c>
      <x:c r="F37" s="28" t="inlineStr">
        <x:is>
          <x:t xml:space="preserve">Include MHEADFOOT macro source</x:t>
        </x:is>
      </x:c>
      <x:c r="G37" s="28" t="inlineStr">
        <x:is>
          <x:t xml:space="preserve">R-008</x:t>
        </x:is>
      </x:c>
      <x:c r="H37" s="28" t="inlineStr">
        <x:is>
          <x:t xml:space="preserve">Rule</x:t>
        </x:is>
      </x:c>
      <x:c r="I37" s="28" t="inlineStr">
        <x:is>
          <x:t xml:space="preserve">Include MHEADFOOT macro source</x:t>
        </x:is>
      </x:c>
      <x:c r="J37" s="28" t="n">
        <x:v>20</x:v>
      </x:c>
      <x:c r="K37" s="28" t="n">
        <x:v>20</x:v>
      </x:c>
      <x:c r="L37" s="28" t="inlineStr">
        <x:is>
          <x:t xml:space="preserve">None</x:t>
        </x:is>
      </x:c>
      <x:c r="M37" s="28" t="inlineStr">
        <x:is>
          <x:t xml:space="preserve">Unique source finding retained</x:t>
        </x:is>
      </x:c>
    </x:row>
    <x:row r="38" ht="42" customHeight="1">
      <x:c r="A38" s="28" t="str">
        <x:v>EXAMPLE001 TLF</x:v>
      </x:c>
      <x:c r="B38" s="28" t="str">
        <x:v>EXAMPLE001</x:v>
      </x:c>
      <x:c r="C38" s="28" t="inlineStr">
        <x:is>
          <x:t xml:space="preserve">TLF</x:t>
        </x:is>
      </x:c>
      <x:c r="D38" s="28" t="inlineStr">
        <x:is>
          <x:t xml:space="preserve">Rule</x:t>
        </x:is>
      </x:c>
      <x:c r="E38" s="28" t="str">
        <x:v>R-EXAMPLE001-TLF-005</x:v>
      </x:c>
      <x:c r="F38" s="28" t="inlineStr">
        <x:is>
          <x:t xml:space="preserve">Include production TLF autoexec</x:t>
        </x:is>
      </x:c>
      <x:c r="G38" s="28" t="inlineStr">
        <x:is>
          <x:t xml:space="preserve">R-009</x:t>
        </x:is>
      </x:c>
      <x:c r="H38" s="28" t="inlineStr">
        <x:is>
          <x:t xml:space="preserve">Rule</x:t>
        </x:is>
      </x:c>
      <x:c r="I38" s="28" t="inlineStr">
        <x:is>
          <x:t xml:space="preserve">Include SCE TLF autoexec</x:t>
        </x:is>
      </x:c>
      <x:c r="J38" s="28" t="n">
        <x:v>18</x:v>
      </x:c>
      <x:c r="K38" s="28" t="n">
        <x:v>18</x:v>
      </x:c>
      <x:c r="L38" s="28" t="inlineStr">
        <x:is>
          <x:t xml:space="preserve">None</x:t>
        </x:is>
      </x:c>
      <x:c r="M38" s="28" t="inlineStr">
        <x:is>
          <x:t xml:space="preserve">Merged with semantically similar source findings</x:t>
        </x:is>
      </x:c>
    </x:row>
    <x:row r="39" ht="42" customHeight="1">
      <x:c r="A39" s="28" t="str">
        <x:v>EXAMPLE001 TLF</x:v>
      </x:c>
      <x:c r="B39" s="28" t="str">
        <x:v>EXAMPLE001</x:v>
      </x:c>
      <x:c r="C39" s="28" t="inlineStr">
        <x:is>
          <x:t xml:space="preserve">TLF</x:t>
        </x:is>
      </x:c>
      <x:c r="D39" s="28" t="inlineStr">
        <x:is>
          <x:t xml:space="preserve">Rule</x:t>
        </x:is>
      </x:c>
      <x:c r="E39" s="28" t="str">
        <x:v>R-EXAMPLE001-TLF-007</x:v>
      </x:c>
      <x:c r="F39" s="28" t="inlineStr">
        <x:is>
          <x:t xml:space="preserve">Include MA Testing autoexec</x:t>
        </x:is>
      </x:c>
      <x:c r="G39" s="28" t="inlineStr">
        <x:is>
          <x:t xml:space="preserve">R-009</x:t>
        </x:is>
      </x:c>
      <x:c r="H39" s="28" t="inlineStr">
        <x:is>
          <x:t xml:space="preserve">Rule</x:t>
        </x:is>
      </x:c>
      <x:c r="I39" s="28" t="inlineStr">
        <x:is>
          <x:t xml:space="preserve">Include SCE TLF autoexec</x:t>
        </x:is>
      </x:c>
      <x:c r="J39" s="28" t="n">
        <x:v>2</x:v>
      </x:c>
      <x:c r="K39" s="28" t="n">
        <x:v>2</x:v>
      </x:c>
      <x:c r="L39" s="28" t="inlineStr">
        <x:is>
          <x:t xml:space="preserve">None</x:t>
        </x:is>
      </x:c>
      <x:c r="M39" s="28" t="inlineStr">
        <x:is>
          <x:t xml:space="preserve">Merged with semantically similar source findings</x:t>
        </x:is>
      </x:c>
    </x:row>
    <x:row r="40" ht="42" customHeight="1">
      <x:c r="A40" s="28" t="str">
        <x:v>EXAMPLE001 SDTM</x:v>
      </x:c>
      <x:c r="B40" s="28" t="str">
        <x:v>EXAMPLE001</x:v>
      </x:c>
      <x:c r="C40" s="28" t="inlineStr">
        <x:is>
          <x:t xml:space="preserve">SDTM</x:t>
        </x:is>
      </x:c>
      <x:c r="D40" s="28" t="inlineStr">
        <x:is>
          <x:t xml:space="preserve">Candidate</x:t>
        </x:is>
      </x:c>
      <x:c r="E40" s="28" t="str">
        <x:v>C-EXAMPLE001-SDTM-001</x:v>
      </x:c>
      <x:c r="F40" s="28" t="inlineStr">
        <x:is>
          <x:t xml:space="preserve">Map clinical source libraries</x:t>
        </x:is>
      </x:c>
      <x:c r="G40" s="28" t="inlineStr">
        <x:is>
          <x:t xml:space="preserve">R-010</x:t>
        </x:is>
      </x:c>
      <x:c r="H40" s="28" t="inlineStr">
        <x:is>
          <x:t xml:space="preserve">Rule</x:t>
        </x:is>
      </x:c>
      <x:c r="I40" s="28" t="inlineStr">
        <x:is>
          <x:t xml:space="preserve">Build SCE core library bootstrap</x:t>
        </x:is>
      </x:c>
      <x:c r="J40" s="28" t="n">
        <x:v>1</x:v>
      </x:c>
      <x:c r="K40" s="28" t="n">
        <x:v>1</x:v>
      </x:c>
      <x:c r="L40" s="28" t="inlineStr">
        <x:is>
          <x:t xml:space="preserve">None</x:t>
        </x:is>
      </x:c>
      <x:c r="M40" s="28" t="inlineStr">
        <x:is>
          <x:t xml:space="preserve">Merged with semantically similar source findings</x:t>
        </x:is>
      </x:c>
    </x:row>
    <x:row r="41" ht="42" customHeight="1">
      <x:c r="A41" s="28" t="str">
        <x:v>EXAMPLE001 SDTM</x:v>
      </x:c>
      <x:c r="B41" s="28" t="str">
        <x:v>EXAMPLE001</x:v>
      </x:c>
      <x:c r="C41" s="28" t="inlineStr">
        <x:is>
          <x:t xml:space="preserve">SDTM</x:t>
        </x:is>
      </x:c>
      <x:c r="D41" s="28" t="inlineStr">
        <x:is>
          <x:t xml:space="preserve">Candidate</x:t>
        </x:is>
      </x:c>
      <x:c r="E41" s="28" t="str">
        <x:v>C-EXAMPLE001-SDTM-002</x:v>
      </x:c>
      <x:c r="F41" s="28" t="inlineStr">
        <x:is>
          <x:t xml:space="preserve">Map SDTM library root</x:t>
        </x:is>
      </x:c>
      <x:c r="G41" s="28" t="inlineStr">
        <x:is>
          <x:t xml:space="preserve">R-010</x:t>
        </x:is>
      </x:c>
      <x:c r="H41" s="28" t="inlineStr">
        <x:is>
          <x:t xml:space="preserve">Rule</x:t>
        </x:is>
      </x:c>
      <x:c r="I41" s="28" t="inlineStr">
        <x:is>
          <x:t xml:space="preserve">Build SCE core library bootstrap</x:t>
        </x:is>
      </x:c>
      <x:c r="J41" s="28" t="n">
        <x:v>1</x:v>
      </x:c>
      <x:c r="K41" s="28" t="n">
        <x:v>1</x:v>
      </x:c>
      <x:c r="L41" s="28" t="inlineStr">
        <x:is>
          <x:t xml:space="preserve">None</x:t>
        </x:is>
      </x:c>
      <x:c r="M41" s="28" t="inlineStr">
        <x:is>
          <x:t xml:space="preserve">Merged with semantically similar source findings</x:t>
        </x:is>
      </x:c>
    </x:row>
    <x:row r="42" ht="42" customHeight="1">
      <x:c r="A42" s="28" t="str">
        <x:v>EXAMPLE001 SDTM</x:v>
      </x:c>
      <x:c r="B42" s="28" t="str">
        <x:v>EXAMPLE001</x:v>
      </x:c>
      <x:c r="C42" s="28" t="inlineStr">
        <x:is>
          <x:t xml:space="preserve">SDTM</x:t>
        </x:is>
      </x:c>
      <x:c r="D42" s="28" t="inlineStr">
        <x:is>
          <x:t xml:space="preserve">Candidate</x:t>
        </x:is>
      </x:c>
      <x:c r="E42" s="28" t="str">
        <x:v>C-EXAMPLE001-SDTM-005</x:v>
      </x:c>
      <x:c r="F42" s="28" t="inlineStr">
        <x:is>
          <x:t xml:space="preserve">Map production SDTM library</x:t>
        </x:is>
      </x:c>
      <x:c r="G42" s="28" t="inlineStr">
        <x:is>
          <x:t xml:space="preserve">R-010</x:t>
        </x:is>
      </x:c>
      <x:c r="H42" s="28" t="inlineStr">
        <x:is>
          <x:t xml:space="preserve">Rule</x:t>
        </x:is>
      </x:c>
      <x:c r="I42" s="28" t="inlineStr">
        <x:is>
          <x:t xml:space="preserve">Build SCE core library bootstrap</x:t>
        </x:is>
      </x:c>
      <x:c r="J42" s="28" t="n">
        <x:v>1</x:v>
      </x:c>
      <x:c r="K42" s="28" t="n">
        <x:v>1</x:v>
      </x:c>
      <x:c r="L42" s="28" t="inlineStr">
        <x:is>
          <x:t xml:space="preserve">None</x:t>
        </x:is>
      </x:c>
      <x:c r="M42" s="28" t="inlineStr">
        <x:is>
          <x:t xml:space="preserve">Merged with semantically similar source findings</x:t>
        </x:is>
      </x:c>
    </x:row>
    <x:row r="43" ht="42" customHeight="1">
      <x:c r="A43" s="28" t="str">
        <x:v>EXAMPLE001 SDTM</x:v>
      </x:c>
      <x:c r="B43" s="28" t="str">
        <x:v>EXAMPLE001</x:v>
      </x:c>
      <x:c r="C43" s="28" t="inlineStr">
        <x:is>
          <x:t xml:space="preserve">SDTM</x:t>
        </x:is>
      </x:c>
      <x:c r="D43" s="28" t="inlineStr">
        <x:is>
          <x:t xml:space="preserve">Candidate</x:t>
        </x:is>
      </x:c>
      <x:c r="E43" s="28" t="str">
        <x:v>C-EXAMPLE001-SDTM-006</x:v>
      </x:c>
      <x:c r="F43" s="28" t="inlineStr">
        <x:is>
          <x:t xml:space="preserve">Add external data libraries</x:t>
        </x:is>
      </x:c>
      <x:c r="G43" s="28" t="inlineStr">
        <x:is>
          <x:t xml:space="preserve">R-010</x:t>
        </x:is>
      </x:c>
      <x:c r="H43" s="28" t="inlineStr">
        <x:is>
          <x:t xml:space="preserve">Rule</x:t>
        </x:is>
      </x:c>
      <x:c r="I43" s="28" t="inlineStr">
        <x:is>
          <x:t xml:space="preserve">Build SCE core library bootstrap</x:t>
        </x:is>
      </x:c>
      <x:c r="J43" s="28" t="n">
        <x:v>1</x:v>
      </x:c>
      <x:c r="K43" s="28" t="n">
        <x:v>1</x:v>
      </x:c>
      <x:c r="L43" s="28" t="inlineStr">
        <x:is>
          <x:t xml:space="preserve">None</x:t>
        </x:is>
      </x:c>
      <x:c r="M43" s="28" t="inlineStr">
        <x:is>
          <x:t xml:space="preserve">Merged with semantically similar source findings</x:t>
        </x:is>
      </x:c>
    </x:row>
    <x:row r="44" ht="42" customHeight="1">
      <x:c r="A44" s="28" t="str">
        <x:v>EXAMPLE001 SDTM</x:v>
      </x:c>
      <x:c r="B44" s="28" t="str">
        <x:v>EXAMPLE001</x:v>
      </x:c>
      <x:c r="C44" s="28" t="inlineStr">
        <x:is>
          <x:t xml:space="preserve">SDTM</x:t>
        </x:is>
      </x:c>
      <x:c r="D44" s="28" t="inlineStr">
        <x:is>
          <x:t xml:space="preserve">Candidate</x:t>
        </x:is>
      </x:c>
      <x:c r="E44" s="28" t="str">
        <x:v>C-EXAMPLE001-SDTM-008</x:v>
      </x:c>
      <x:c r="F44" s="28" t="inlineStr">
        <x:is>
          <x:t xml:space="preserve">Map SDSDS macro root</x:t>
        </x:is>
      </x:c>
      <x:c r="G44" s="28" t="inlineStr">
        <x:is>
          <x:t xml:space="preserve">R-010</x:t>
        </x:is>
      </x:c>
      <x:c r="H44" s="28" t="inlineStr">
        <x:is>
          <x:t xml:space="preserve">Rule</x:t>
        </x:is>
      </x:c>
      <x:c r="I44" s="28" t="inlineStr">
        <x:is>
          <x:t xml:space="preserve">Build SCE core library bootstrap</x:t>
        </x:is>
      </x:c>
      <x:c r="J44" s="28" t="n">
        <x:v>1</x:v>
      </x:c>
      <x:c r="K44" s="28" t="n">
        <x:v>1</x:v>
      </x:c>
      <x:c r="L44" s="28" t="inlineStr">
        <x:is>
          <x:t xml:space="preserve">None</x:t>
        </x:is>
      </x:c>
      <x:c r="M44" s="28" t="inlineStr">
        <x:is>
          <x:t xml:space="preserve">Merged with semantically similar source findings</x:t>
        </x:is>
      </x:c>
    </x:row>
    <x:row r="45" ht="42" customHeight="1">
      <x:c r="A45" s="28" t="str">
        <x:v>EXAMPLE001 TLF</x:v>
      </x:c>
      <x:c r="B45" s="28" t="str">
        <x:v>EXAMPLE001</x:v>
      </x:c>
      <x:c r="C45" s="28" t="inlineStr">
        <x:is>
          <x:t xml:space="preserve">TLF</x:t>
        </x:is>
      </x:c>
      <x:c r="D45" s="28" t="inlineStr">
        <x:is>
          <x:t xml:space="preserve">Candidate</x:t>
        </x:is>
      </x:c>
      <x:c r="E45" s="28" t="str">
        <x:v>C-EXAMPLE001-TLF-002</x:v>
      </x:c>
      <x:c r="F45" s="28" t="inlineStr">
        <x:is>
          <x:t xml:space="preserve">Rebuild autoexec input libraries</x:t>
        </x:is>
      </x:c>
      <x:c r="G45" s="28" t="inlineStr">
        <x:is>
          <x:t xml:space="preserve">R-010</x:t>
        </x:is>
      </x:c>
      <x:c r="H45" s="28" t="inlineStr">
        <x:is>
          <x:t xml:space="preserve">Rule</x:t>
        </x:is>
      </x:c>
      <x:c r="I45" s="28" t="inlineStr">
        <x:is>
          <x:t xml:space="preserve">Build SCE core library bootstrap</x:t>
        </x:is>
      </x:c>
      <x:c r="J45" s="28" t="n">
        <x:v>1</x:v>
      </x:c>
      <x:c r="K45" s="28" t="n">
        <x:v>1</x:v>
      </x:c>
      <x:c r="L45" s="28" t="inlineStr">
        <x:is>
          <x:t xml:space="preserve">None</x:t>
        </x:is>
      </x:c>
      <x:c r="M45" s="28" t="inlineStr">
        <x:is>
          <x:t xml:space="preserve">Merged with semantically similar source findings</x:t>
        </x:is>
      </x:c>
    </x:row>
    <x:row r="46" ht="42" customHeight="1">
      <x:c r="A46" s="28" t="str">
        <x:v>EXAMPLE002 SDTM</x:v>
      </x:c>
      <x:c r="B46" s="28" t="str">
        <x:v>EXAMPLE002</x:v>
      </x:c>
      <x:c r="C46" s="28" t="inlineStr">
        <x:is>
          <x:t xml:space="preserve">SDTM</x:t>
        </x:is>
      </x:c>
      <x:c r="D46" s="28" t="inlineStr">
        <x:is>
          <x:t xml:space="preserve">Rule</x:t>
        </x:is>
      </x:c>
      <x:c r="E46" s="28" t="str">
        <x:v>R-EXAMPLE002-SDTM-002</x:v>
      </x:c>
      <x:c r="F46" s="28" t="inlineStr">
        <x:is>
          <x:t xml:space="preserve">Add SCE library bootstrap</x:t>
        </x:is>
      </x:c>
      <x:c r="G46" s="28" t="inlineStr">
        <x:is>
          <x:t xml:space="preserve">R-010</x:t>
        </x:is>
      </x:c>
      <x:c r="H46" s="28" t="inlineStr">
        <x:is>
          <x:t xml:space="preserve">Rule</x:t>
        </x:is>
      </x:c>
      <x:c r="I46" s="28" t="inlineStr">
        <x:is>
          <x:t xml:space="preserve">Build SCE core library bootstrap</x:t>
        </x:is>
      </x:c>
      <x:c r="J46" s="28" t="n">
        <x:v>14</x:v>
      </x:c>
      <x:c r="K46" s="28" t="n">
        <x:v>14</x:v>
      </x:c>
      <x:c r="L46" s="28" t="inlineStr">
        <x:is>
          <x:t xml:space="preserve">None</x:t>
        </x:is>
      </x:c>
      <x:c r="M46" s="28" t="inlineStr">
        <x:is>
          <x:t xml:space="preserve">Merged with semantically similar source findings</x:t>
        </x:is>
      </x:c>
    </x:row>
    <x:row r="47" ht="42" customHeight="1">
      <x:c r="A47" s="28" t="str">
        <x:v>EXAMPLE001 TLF</x:v>
      </x:c>
      <x:c r="B47" s="28" t="str">
        <x:v>EXAMPLE001</x:v>
      </x:c>
      <x:c r="C47" s="28" t="inlineStr">
        <x:is>
          <x:t xml:space="preserve">TLF</x:t>
        </x:is>
      </x:c>
      <x:c r="D47" s="28" t="inlineStr">
        <x:is>
          <x:t xml:space="preserve">Rule</x:t>
        </x:is>
      </x:c>
      <x:c r="E47" s="28" t="str">
        <x:v>R-EXAMPLE001-TLF-003</x:v>
      </x:c>
      <x:c r="F47" s="28" t="inlineStr">
        <x:is>
          <x:t xml:space="preserve">Disable legacy TLF autoexec</x:t>
        </x:is>
      </x:c>
      <x:c r="G47" s="28" t="inlineStr">
        <x:is>
          <x:t xml:space="preserve">R-011</x:t>
        </x:is>
      </x:c>
      <x:c r="H47" s="28" t="inlineStr">
        <x:is>
          <x:t xml:space="preserve">Rule</x:t>
        </x:is>
      </x:c>
      <x:c r="I47" s="28" t="inlineStr">
        <x:is>
          <x:t xml:space="preserve">Disable legacy TLF autoexec</x:t>
        </x:is>
      </x:c>
      <x:c r="J47" s="28" t="n">
        <x:v>19</x:v>
      </x:c>
      <x:c r="K47" s="28" t="n">
        <x:v>19</x:v>
      </x:c>
      <x:c r="L47" s="28" t="inlineStr">
        <x:is>
          <x:t xml:space="preserve">Conflicted</x:t>
        </x:is>
      </x:c>
      <x:c r="M47" s="28" t="inlineStr">
        <x:is>
          <x:t xml:space="preserve">Unique source finding retained</x:t>
        </x:is>
      </x:c>
    </x:row>
    <x:row r="48" ht="42" customHeight="1">
      <x:c r="A48" s="28" t="str">
        <x:v>EXAMPLE001 ADaM</x:v>
      </x:c>
      <x:c r="B48" s="28" t="str">
        <x:v>EXAMPLE001</x:v>
      </x:c>
      <x:c r="C48" s="28" t="inlineStr">
        <x:is>
          <x:t xml:space="preserve">ADaM</x:t>
        </x:is>
      </x:c>
      <x:c r="D48" s="28" t="inlineStr">
        <x:is>
          <x:t xml:space="preserve">Candidate</x:t>
        </x:is>
      </x:c>
      <x:c r="E48" s="28" t="str">
        <x:v>C-EXAMPLE001-ADAM-001</x:v>
      </x:c>
      <x:c r="F48" s="28" t="inlineStr">
        <x:is>
          <x:t xml:space="preserve">Include SETUPANL macro source</x:t>
        </x:is>
      </x:c>
      <x:c r="G48" s="28" t="inlineStr">
        <x:is>
          <x:t xml:space="preserve">R-012</x:t>
        </x:is>
      </x:c>
      <x:c r="H48" s="28" t="inlineStr">
        <x:is>
          <x:t xml:space="preserve">Rule</x:t>
        </x:is>
      </x:c>
      <x:c r="I48" s="28" t="inlineStr">
        <x:is>
          <x:t xml:space="preserve">Include SETUPANL macro source</x:t>
        </x:is>
      </x:c>
      <x:c r="J48" s="28" t="n">
        <x:v>1</x:v>
      </x:c>
      <x:c r="K48" s="28" t="n">
        <x:v>1</x:v>
      </x:c>
      <x:c r="L48" s="28" t="str">
        <x:v>Conflicted with R-EXAMPLE001-ADAM-002</x:v>
      </x:c>
      <x:c r="M48" s="28" t="inlineStr">
        <x:is>
          <x:t xml:space="preserve">Merged with semantically similar source findings</x:t>
        </x:is>
      </x:c>
    </x:row>
    <x:row r="49" ht="42" customHeight="1">
      <x:c r="A49" s="28" t="str">
        <x:v>EXAMPLE001 TLF</x:v>
      </x:c>
      <x:c r="B49" s="28" t="str">
        <x:v>EXAMPLE001</x:v>
      </x:c>
      <x:c r="C49" s="28" t="inlineStr">
        <x:is>
          <x:t xml:space="preserve">TLF</x:t>
        </x:is>
      </x:c>
      <x:c r="D49" s="28" t="inlineStr">
        <x:is>
          <x:t xml:space="preserve">Rule</x:t>
        </x:is>
      </x:c>
      <x:c r="E49" s="28" t="str">
        <x:v>R-EXAMPLE001-TLF-004</x:v>
      </x:c>
      <x:c r="F49" s="28" t="inlineStr">
        <x:is>
          <x:t xml:space="preserve">Include SCE SETUPANL source</x:t>
        </x:is>
      </x:c>
      <x:c r="G49" s="28" t="inlineStr">
        <x:is>
          <x:t xml:space="preserve">R-012</x:t>
        </x:is>
      </x:c>
      <x:c r="H49" s="28" t="inlineStr">
        <x:is>
          <x:t xml:space="preserve">Rule</x:t>
        </x:is>
      </x:c>
      <x:c r="I49" s="28" t="inlineStr">
        <x:is>
          <x:t xml:space="preserve">Include SETUPANL macro source</x:t>
        </x:is>
      </x:c>
      <x:c r="J49" s="28" t="n">
        <x:v>17</x:v>
      </x:c>
      <x:c r="K49" s="28" t="n">
        <x:v>17</x:v>
      </x:c>
      <x:c r="L49" s="28" t="inlineStr">
        <x:is>
          <x:t xml:space="preserve">Conflicted</x:t>
        </x:is>
      </x:c>
      <x:c r="M49" s="28" t="inlineStr">
        <x:is>
          <x:t xml:space="preserve">Merged with semantically similar source findings</x:t>
        </x:is>
      </x:c>
    </x:row>
    <x:row r="50" ht="42" customHeight="1">
      <x:c r="A50" s="28" t="str">
        <x:v>EXAMPLE002 ADaM</x:v>
      </x:c>
      <x:c r="B50" s="28" t="str">
        <x:v>EXAMPLE002</x:v>
      </x:c>
      <x:c r="C50" s="28" t="inlineStr">
        <x:is>
          <x:t xml:space="preserve">ADaM</x:t>
        </x:is>
      </x:c>
      <x:c r="D50" s="28" t="inlineStr">
        <x:is>
          <x:t xml:space="preserve">Rule</x:t>
        </x:is>
      </x:c>
      <x:c r="E50" s="28" t="str">
        <x:v>R-EXAMPLE002-ADAM-003</x:v>
      </x:c>
      <x:c r="F50" s="28" t="inlineStr">
        <x:is>
          <x:t xml:space="preserve">Add missing ADaM libref</x:t>
        </x:is>
      </x:c>
      <x:c r="G50" s="28" t="inlineStr">
        <x:is>
          <x:t xml:space="preserve">R-013</x:t>
        </x:is>
      </x:c>
      <x:c r="H50" s="28" t="inlineStr">
        <x:is>
          <x:t xml:space="preserve">Rule</x:t>
        </x:is>
      </x:c>
      <x:c r="I50" s="28" t="str">
        <x:v>Add ADaM UTIL_GETDATA libref</x:v>
      </x:c>
      <x:c r="J50" s="28" t="n">
        <x:v>8</x:v>
      </x:c>
      <x:c r="K50" s="28" t="n">
        <x:v>6</x:v>
      </x:c>
      <x:c r="L50" s="28" t="inlineStr">
        <x:is>
          <x:t xml:space="preserve">Conflicted</x:t>
        </x:is>
      </x:c>
      <x:c r="M50" s="28" t="inlineStr">
        <x:is>
          <x:t xml:space="preserve">Merged with semantically similar source findings</x:t>
        </x:is>
      </x:c>
    </x:row>
    <x:row r="51" ht="42" customHeight="1">
      <x:c r="A51" s="28" t="str">
        <x:v>EXAMPLE002 TLF</x:v>
      </x:c>
      <x:c r="B51" s="28" t="str">
        <x:v>EXAMPLE002</x:v>
      </x:c>
      <x:c r="C51" s="28" t="inlineStr">
        <x:is>
          <x:t xml:space="preserve">TLF</x:t>
        </x:is>
      </x:c>
      <x:c r="D51" s="28" t="inlineStr">
        <x:is>
          <x:t xml:space="preserve">Rule</x:t>
        </x:is>
      </x:c>
      <x:c r="E51" s="28" t="str">
        <x:v>R-EXAMPLE002-TLF-003</x:v>
      </x:c>
      <x:c r="F51" s="28" t="str">
        <x:v>Add ADaM UTIL_GETDATA libref</x:v>
      </x:c>
      <x:c r="G51" s="28" t="inlineStr">
        <x:is>
          <x:t xml:space="preserve">R-013</x:t>
        </x:is>
      </x:c>
      <x:c r="H51" s="28" t="inlineStr">
        <x:is>
          <x:t xml:space="preserve">Rule</x:t>
        </x:is>
      </x:c>
      <x:c r="I51" s="28" t="str">
        <x:v>Add ADaM UTIL_GETDATA libref</x:v>
      </x:c>
      <x:c r="J51" s="28" t="n">
        <x:v>6</x:v>
      </x:c>
      <x:c r="K51" s="28" t="n">
        <x:v>5</x:v>
      </x:c>
      <x:c r="L51" s="28" t="inlineStr">
        <x:is>
          <x:t xml:space="preserve">Conflicted</x:t>
        </x:is>
      </x:c>
      <x:c r="M51" s="28" t="inlineStr">
        <x:is>
          <x:t xml:space="preserve">Merged with semantically similar source findings</x:t>
        </x:is>
      </x:c>
    </x:row>
    <x:row r="52" ht="42" customHeight="1">
      <x:c r="A52" s="28" t="str">
        <x:v>EXAMPLE001 ADaM</x:v>
      </x:c>
      <x:c r="B52" s="28" t="str">
        <x:v>EXAMPLE001</x:v>
      </x:c>
      <x:c r="C52" s="28" t="inlineStr">
        <x:is>
          <x:t xml:space="preserve">ADaM</x:t>
        </x:is>
      </x:c>
      <x:c r="D52" s="28" t="inlineStr">
        <x:is>
          <x:t xml:space="preserve">Rule</x:t>
        </x:is>
      </x:c>
      <x:c r="E52" s="28" t="str">
        <x:v>R-EXAMPLE001-ADAM-005</x:v>
      </x:c>
      <x:c r="F52" s="28" t="inlineStr">
        <x:is>
          <x:t xml:space="preserve">Assign PADAM from SCEDATA</x:t>
        </x:is>
      </x:c>
      <x:c r="G52" s="28" t="inlineStr">
        <x:is>
          <x:t xml:space="preserve">R-014</x:t>
        </x:is>
      </x:c>
      <x:c r="H52" s="28" t="inlineStr">
        <x:is>
          <x:t xml:space="preserve">Rule</x:t>
        </x:is>
      </x:c>
      <x:c r="I52" s="28" t="inlineStr">
        <x:is>
          <x:t xml:space="preserve">Assign PADAM from SCEDATA</x:t>
        </x:is>
      </x:c>
      <x:c r="J52" s="28" t="n">
        <x:v>8</x:v>
      </x:c>
      <x:c r="K52" s="28" t="n">
        <x:v>8</x:v>
      </x:c>
      <x:c r="L52" s="28" t="inlineStr">
        <x:is>
          <x:t xml:space="preserve">None</x:t>
        </x:is>
      </x:c>
      <x:c r="M52" s="28" t="inlineStr">
        <x:is>
          <x:t xml:space="preserve">Unique source finding retained</x:t>
        </x:is>
      </x:c>
    </x:row>
    <x:row r="53" ht="42" customHeight="1">
      <x:c r="A53" s="28" t="str">
        <x:v>EXAMPLE001 ADaM</x:v>
      </x:c>
      <x:c r="B53" s="28" t="str">
        <x:v>EXAMPLE001</x:v>
      </x:c>
      <x:c r="C53" s="28" t="inlineStr">
        <x:is>
          <x:t xml:space="preserve">ADaM</x:t>
        </x:is>
      </x:c>
      <x:c r="D53" s="28" t="inlineStr">
        <x:is>
          <x:t xml:space="preserve">Rule</x:t>
        </x:is>
      </x:c>
      <x:c r="E53" s="28" t="str">
        <x:v>R-EXAMPLE001-ADAM-004</x:v>
      </x:c>
      <x:c r="F53" s="28" t="inlineStr">
        <x:is>
          <x:t xml:space="preserve">Include MTRIM macro source</x:t>
        </x:is>
      </x:c>
      <x:c r="G53" s="28" t="inlineStr">
        <x:is>
          <x:t xml:space="preserve">R-015</x:t>
        </x:is>
      </x:c>
      <x:c r="H53" s="28" t="inlineStr">
        <x:is>
          <x:t xml:space="preserve">Rule</x:t>
        </x:is>
      </x:c>
      <x:c r="I53" s="28" t="inlineStr">
        <x:is>
          <x:t xml:space="preserve">Include MTRIM macro source</x:t>
        </x:is>
      </x:c>
      <x:c r="J53" s="28" t="n">
        <x:v>8</x:v>
      </x:c>
      <x:c r="K53" s="28" t="n">
        <x:v>8</x:v>
      </x:c>
      <x:c r="L53" s="28" t="inlineStr">
        <x:is>
          <x:t xml:space="preserve">None</x:t>
        </x:is>
      </x:c>
      <x:c r="M53" s="28" t="inlineStr">
        <x:is>
          <x:t xml:space="preserve">Unique source finding retained</x:t>
        </x:is>
      </x:c>
    </x:row>
    <x:row r="54" ht="42" customHeight="1">
      <x:c r="A54" s="28" t="str">
        <x:v>EXAMPLE001 ADaM</x:v>
      </x:c>
      <x:c r="B54" s="28" t="str">
        <x:v>EXAMPLE001</x:v>
      </x:c>
      <x:c r="C54" s="28" t="inlineStr">
        <x:is>
          <x:t xml:space="preserve">ADaM</x:t>
        </x:is>
      </x:c>
      <x:c r="D54" s="28" t="inlineStr">
        <x:is>
          <x:t xml:space="preserve">Candidate</x:t>
        </x:is>
      </x:c>
      <x:c r="E54" s="28" t="str">
        <x:v>C-EXAMPLE001-ADAM-002</x:v>
      </x:c>
      <x:c r="F54" s="28" t="inlineStr">
        <x:is>
          <x:t xml:space="preserve">Directly repoint XPT path</x:t>
        </x:is>
      </x:c>
      <x:c r="G54" s="28" t="inlineStr">
        <x:is>
          <x:t xml:space="preserve">R-016</x:t>
        </x:is>
      </x:c>
      <x:c r="H54" s="28" t="inlineStr">
        <x:is>
          <x:t xml:space="preserve">Rule</x:t>
        </x:is>
      </x:c>
      <x:c r="I54" s="28" t="inlineStr">
        <x:is>
          <x:t xml:space="preserve">Redirect ADaM XPT export</x:t>
        </x:is>
      </x:c>
      <x:c r="J54" s="28" t="n">
        <x:v>1</x:v>
      </x:c>
      <x:c r="K54" s="28" t="n">
        <x:v>1</x:v>
      </x:c>
      <x:c r="L54" s="28" t="str">
        <x:v>Conflicted with R-EXAMPLE001-ADAM-007</x:v>
      </x:c>
      <x:c r="M54" s="28" t="inlineStr">
        <x:is>
          <x:t xml:space="preserve">Merged with semantically similar source findings</x:t>
        </x:is>
      </x:c>
    </x:row>
    <x:row r="55" ht="42" customHeight="1">
      <x:c r="A55" s="28" t="str">
        <x:v>EXAMPLE001 ADaM</x:v>
      </x:c>
      <x:c r="B55" s="28" t="str">
        <x:v>EXAMPLE001</x:v>
      </x:c>
      <x:c r="C55" s="28" t="inlineStr">
        <x:is>
          <x:t xml:space="preserve">ADaM</x:t>
        </x:is>
      </x:c>
      <x:c r="D55" s="28" t="inlineStr">
        <x:is>
          <x:t xml:space="preserve">Rule</x:t>
        </x:is>
      </x:c>
      <x:c r="E55" s="28" t="str">
        <x:v>R-EXAMPLE001-ADAM-007</x:v>
      </x:c>
      <x:c r="F55" s="28" t="inlineStr">
        <x:is>
          <x:t xml:space="preserve">Rebuild XPT export block</x:t>
        </x:is>
      </x:c>
      <x:c r="G55" s="28" t="inlineStr">
        <x:is>
          <x:t xml:space="preserve">R-016</x:t>
        </x:is>
      </x:c>
      <x:c r="H55" s="28" t="inlineStr">
        <x:is>
          <x:t xml:space="preserve">Rule</x:t>
        </x:is>
      </x:c>
      <x:c r="I55" s="28" t="inlineStr">
        <x:is>
          <x:t xml:space="preserve">Redirect ADaM XPT export</x:t>
        </x:is>
      </x:c>
      <x:c r="J55" s="28" t="n">
        <x:v>7</x:v>
      </x:c>
      <x:c r="K55" s="28" t="n">
        <x:v>7</x:v>
      </x:c>
      <x:c r="L55" s="28" t="inlineStr">
        <x:is>
          <x:t xml:space="preserve">Conflicted</x:t>
        </x:is>
      </x:c>
      <x:c r="M55" s="28" t="inlineStr">
        <x:is>
          <x:t xml:space="preserve">Merged with semantically similar source findings</x:t>
        </x:is>
      </x:c>
    </x:row>
    <x:row r="56" ht="42" customHeight="1">
      <x:c r="A56" s="28" t="str">
        <x:v>EXAMPLE001 SDTM</x:v>
      </x:c>
      <x:c r="B56" s="28" t="str">
        <x:v>EXAMPLE001</x:v>
      </x:c>
      <x:c r="C56" s="28" t="inlineStr">
        <x:is>
          <x:t xml:space="preserve">SDTM</x:t>
        </x:is>
      </x:c>
      <x:c r="D56" s="28" t="inlineStr">
        <x:is>
          <x:t xml:space="preserve">Candidate</x:t>
        </x:is>
      </x:c>
      <x:c r="E56" s="28" t="str">
        <x:v>C-EXAMPLE001-SDTM-007</x:v>
      </x:c>
      <x:c r="F56" s="28" t="inlineStr">
        <x:is>
          <x:t xml:space="preserve">Relocate TDPath specification</x:t>
        </x:is>
      </x:c>
      <x:c r="G56" s="28" t="inlineStr">
        <x:is>
          <x:t xml:space="preserve">R-017</x:t>
        </x:is>
      </x:c>
      <x:c r="H56" s="28" t="inlineStr">
        <x:is>
          <x:t xml:space="preserve">Rule</x:t>
        </x:is>
      </x:c>
      <x:c r="I56" s="28" t="inlineStr">
        <x:is>
          <x:t xml:space="preserve">Relocate workbook inputs to SCE</x:t>
        </x:is>
      </x:c>
      <x:c r="J56" s="28" t="n">
        <x:v>1</x:v>
      </x:c>
      <x:c r="K56" s="28" t="n">
        <x:v>1</x:v>
      </x:c>
      <x:c r="L56" s="28" t="inlineStr">
        <x:is>
          <x:t xml:space="preserve">None</x:t>
        </x:is>
      </x:c>
      <x:c r="M56" s="28" t="inlineStr">
        <x:is>
          <x:t xml:space="preserve">Merged with semantically similar source findings</x:t>
        </x:is>
      </x:c>
    </x:row>
    <x:row r="57" ht="42" customHeight="1">
      <x:c r="A57" s="28" t="str">
        <x:v>EXAMPLE001 SDTM</x:v>
      </x:c>
      <x:c r="B57" s="28" t="str">
        <x:v>EXAMPLE001</x:v>
      </x:c>
      <x:c r="C57" s="28" t="inlineStr">
        <x:is>
          <x:t xml:space="preserve">SDTM</x:t>
        </x:is>
      </x:c>
      <x:c r="D57" s="28" t="inlineStr">
        <x:is>
          <x:t xml:space="preserve">Candidate</x:t>
        </x:is>
      </x:c>
      <x:c r="E57" s="28" t="str">
        <x:v>C-EXAMPLE001-SDTM-009</x:v>
      </x:c>
      <x:c r="F57" s="28" t="inlineStr">
        <x:is>
          <x:t xml:space="preserve">Relocate specification import</x:t>
        </x:is>
      </x:c>
      <x:c r="G57" s="28" t="inlineStr">
        <x:is>
          <x:t xml:space="preserve">R-017</x:t>
        </x:is>
      </x:c>
      <x:c r="H57" s="28" t="inlineStr">
        <x:is>
          <x:t xml:space="preserve">Rule</x:t>
        </x:is>
      </x:c>
      <x:c r="I57" s="28" t="inlineStr">
        <x:is>
          <x:t xml:space="preserve">Relocate workbook inputs to SCE</x:t>
        </x:is>
      </x:c>
      <x:c r="J57" s="28" t="n">
        <x:v>1</x:v>
      </x:c>
      <x:c r="K57" s="28" t="n">
        <x:v>1</x:v>
      </x:c>
      <x:c r="L57" s="28" t="inlineStr">
        <x:is>
          <x:t xml:space="preserve">None</x:t>
        </x:is>
      </x:c>
      <x:c r="M57" s="28" t="inlineStr">
        <x:is>
          <x:t xml:space="preserve">Merged with semantically similar source findings</x:t>
        </x:is>
      </x:c>
    </x:row>
    <x:row r="58" ht="42" customHeight="1">
      <x:c r="A58" s="28" t="str">
        <x:v>EXAMPLE002 ADaM</x:v>
      </x:c>
      <x:c r="B58" s="28" t="str">
        <x:v>EXAMPLE002</x:v>
      </x:c>
      <x:c r="C58" s="28" t="inlineStr">
        <x:is>
          <x:t xml:space="preserve">ADaM</x:t>
        </x:is>
      </x:c>
      <x:c r="D58" s="28" t="inlineStr">
        <x:is>
          <x:t xml:space="preserve">Rule</x:t>
        </x:is>
      </x:c>
      <x:c r="E58" s="28" t="str">
        <x:v>R-EXAMPLE002-ADAM-006</x:v>
      </x:c>
      <x:c r="F58" s="28" t="inlineStr">
        <x:is>
          <x:t xml:space="preserve">Redirect Excel input to Docs</x:t>
        </x:is>
      </x:c>
      <x:c r="G58" s="28" t="inlineStr">
        <x:is>
          <x:t xml:space="preserve">R-017</x:t>
        </x:is>
      </x:c>
      <x:c r="H58" s="28" t="inlineStr">
        <x:is>
          <x:t xml:space="preserve">Rule</x:t>
        </x:is>
      </x:c>
      <x:c r="I58" s="28" t="inlineStr">
        <x:is>
          <x:t xml:space="preserve">Relocate workbook inputs to SCE</x:t>
        </x:is>
      </x:c>
      <x:c r="J58" s="28" t="n">
        <x:v>4</x:v>
      </x:c>
      <x:c r="K58" s="28" t="n">
        <x:v>2</x:v>
      </x:c>
      <x:c r="L58" s="28" t="inlineStr">
        <x:is>
          <x:t xml:space="preserve">None</x:t>
        </x:is>
      </x:c>
      <x:c r="M58" s="28" t="inlineStr">
        <x:is>
          <x:t xml:space="preserve">Merged with semantically similar source findings</x:t>
        </x:is>
      </x:c>
    </x:row>
    <x:row r="59" ht="42" customHeight="1">
      <x:c r="A59" s="28" t="str">
        <x:v>EXAMPLE002 SDTM</x:v>
      </x:c>
      <x:c r="B59" s="28" t="str">
        <x:v>EXAMPLE002</x:v>
      </x:c>
      <x:c r="C59" s="28" t="inlineStr">
        <x:is>
          <x:t xml:space="preserve">SDTM</x:t>
        </x:is>
      </x:c>
      <x:c r="D59" s="28" t="inlineStr">
        <x:is>
          <x:t xml:space="preserve">Candidate</x:t>
        </x:is>
      </x:c>
      <x:c r="E59" s="28" t="str">
        <x:v>C-EXAMPLE002-SDTM-002</x:v>
      </x:c>
      <x:c r="F59" s="28" t="inlineStr">
        <x:is>
          <x:t xml:space="preserve">Read DV workbook from Docs</x:t>
        </x:is>
      </x:c>
      <x:c r="G59" s="28" t="inlineStr">
        <x:is>
          <x:t xml:space="preserve">R-017</x:t>
        </x:is>
      </x:c>
      <x:c r="H59" s="28" t="inlineStr">
        <x:is>
          <x:t xml:space="preserve">Rule</x:t>
        </x:is>
      </x:c>
      <x:c r="I59" s="28" t="inlineStr">
        <x:is>
          <x:t xml:space="preserve">Relocate workbook inputs to SCE</x:t>
        </x:is>
      </x:c>
      <x:c r="J59" s="28" t="n">
        <x:v>1</x:v>
      </x:c>
      <x:c r="K59" s="28" t="n">
        <x:v>1</x:v>
      </x:c>
      <x:c r="L59" s="28" t="inlineStr">
        <x:is>
          <x:t xml:space="preserve">None</x:t>
        </x:is>
      </x:c>
      <x:c r="M59" s="28" t="inlineStr">
        <x:is>
          <x:t xml:space="preserve">Merged with semantically similar source findings</x:t>
        </x:is>
      </x:c>
    </x:row>
    <x:row r="60" ht="42" customHeight="1">
      <x:c r="A60" s="28" t="str">
        <x:v>EXAMPLE002 SDTM</x:v>
      </x:c>
      <x:c r="B60" s="28" t="str">
        <x:v>EXAMPLE002</x:v>
      </x:c>
      <x:c r="C60" s="28" t="inlineStr">
        <x:is>
          <x:t xml:space="preserve">SDTM</x:t>
        </x:is>
      </x:c>
      <x:c r="D60" s="28" t="inlineStr">
        <x:is>
          <x:t xml:space="preserve">Candidate</x:t>
        </x:is>
      </x:c>
      <x:c r="E60" s="28" t="str">
        <x:v>C-EXAMPLE002-SDTM-003</x:v>
      </x:c>
      <x:c r="F60" s="28" t="inlineStr">
        <x:is>
          <x:t xml:space="preserve">Read LB test from Docs</x:t>
        </x:is>
      </x:c>
      <x:c r="G60" s="28" t="inlineStr">
        <x:is>
          <x:t xml:space="preserve">R-017</x:t>
        </x:is>
      </x:c>
      <x:c r="H60" s="28" t="inlineStr">
        <x:is>
          <x:t xml:space="preserve">Rule</x:t>
        </x:is>
      </x:c>
      <x:c r="I60" s="28" t="inlineStr">
        <x:is>
          <x:t xml:space="preserve">Relocate workbook inputs to SCE</x:t>
        </x:is>
      </x:c>
      <x:c r="J60" s="28" t="n">
        <x:v>1</x:v>
      </x:c>
      <x:c r="K60" s="28" t="n">
        <x:v>1</x:v>
      </x:c>
      <x:c r="L60" s="28" t="inlineStr">
        <x:is>
          <x:t xml:space="preserve">None</x:t>
        </x:is>
      </x:c>
      <x:c r="M60" s="28" t="inlineStr">
        <x:is>
          <x:t xml:space="preserve">Merged with semantically similar source findings</x:t>
        </x:is>
      </x:c>
    </x:row>
    <x:row r="61" ht="42" customHeight="1">
      <x:c r="A61" s="28" t="str">
        <x:v>EXAMPLE002 SDTM</x:v>
      </x:c>
      <x:c r="B61" s="28" t="str">
        <x:v>EXAMPLE002</x:v>
      </x:c>
      <x:c r="C61" s="28" t="inlineStr">
        <x:is>
          <x:t xml:space="preserve">SDTM</x:t>
        </x:is>
      </x:c>
      <x:c r="D61" s="28" t="inlineStr">
        <x:is>
          <x:t xml:space="preserve">Rule</x:t>
        </x:is>
      </x:c>
      <x:c r="E61" s="28" t="str">
        <x:v>R-EXAMPLE002-SDTM-009</x:v>
      </x:c>
      <x:c r="F61" s="28" t="inlineStr">
        <x:is>
          <x:t xml:space="preserve">Disable selected XPT output</x:t>
        </x:is>
      </x:c>
      <x:c r="G61" s="28" t="inlineStr">
        <x:is>
          <x:t xml:space="preserve">R-018</x:t>
        </x:is>
      </x:c>
      <x:c r="H61" s="28" t="inlineStr">
        <x:is>
          <x:t xml:space="preserve">Rule</x:t>
        </x:is>
      </x:c>
      <x:c r="I61" s="28" t="inlineStr">
        <x:is>
          <x:t xml:space="preserve">Disable selected XPT output</x:t>
        </x:is>
      </x:c>
      <x:c r="J61" s="28" t="n">
        <x:v>8</x:v>
      </x:c>
      <x:c r="K61" s="28" t="n">
        <x:v>4</x:v>
      </x:c>
      <x:c r="L61" s="28" t="inlineStr">
        <x:is>
          <x:t xml:space="preserve">Conflicted</x:t>
        </x:is>
      </x:c>
      <x:c r="M61" s="28" t="inlineStr">
        <x:is>
          <x:t xml:space="preserve">Unique source finding retained</x:t>
        </x:is>
      </x:c>
    </x:row>
    <x:row r="62" ht="42" customHeight="1">
      <x:c r="A62" s="28" t="str">
        <x:v>EXAMPLE002 SDTM</x:v>
      </x:c>
      <x:c r="B62" s="28" t="str">
        <x:v>EXAMPLE002</x:v>
      </x:c>
      <x:c r="C62" s="28" t="inlineStr">
        <x:is>
          <x:t xml:space="preserve">SDTM</x:t>
        </x:is>
      </x:c>
      <x:c r="D62" s="28" t="inlineStr">
        <x:is>
          <x:t xml:space="preserve">Rule</x:t>
        </x:is>
      </x:c>
      <x:c r="E62" s="28" t="str">
        <x:v>R-EXAMPLE002-SDTM-003</x:v>
      </x:c>
      <x:c r="F62" s="28" t="inlineStr">
        <x:is>
          <x:t xml:space="preserve">Use SCE rescreen dataset</x:t>
        </x:is>
      </x:c>
      <x:c r="G62" s="28" t="inlineStr">
        <x:is>
          <x:t xml:space="preserve">R-019</x:t>
        </x:is>
      </x:c>
      <x:c r="H62" s="28" t="inlineStr">
        <x:is>
          <x:t xml:space="preserve">Rule</x:t>
        </x:is>
      </x:c>
      <x:c r="I62" s="28" t="inlineStr">
        <x:is>
          <x:t xml:space="preserve">Use SCE rescreen dataset</x:t>
        </x:is>
      </x:c>
      <x:c r="J62" s="28" t="n">
        <x:v>7</x:v>
      </x:c>
      <x:c r="K62" s="28" t="n">
        <x:v>7</x:v>
      </x:c>
      <x:c r="L62" s="28" t="inlineStr">
        <x:is>
          <x:t xml:space="preserve">None</x:t>
        </x:is>
      </x:c>
      <x:c r="M62" s="28" t="inlineStr">
        <x:is>
          <x:t xml:space="preserve">Unique source finding retained</x:t>
        </x:is>
      </x:c>
    </x:row>
    <x:row r="63" ht="42" customHeight="1">
      <x:c r="A63" s="28" t="str">
        <x:v>EXAMPLE001 ADaM</x:v>
      </x:c>
      <x:c r="B63" s="28" t="str">
        <x:v>EXAMPLE001</x:v>
      </x:c>
      <x:c r="C63" s="28" t="inlineStr">
        <x:is>
          <x:t xml:space="preserve">ADaM</x:t>
        </x:is>
      </x:c>
      <x:c r="D63" s="28" t="inlineStr">
        <x:is>
          <x:t xml:space="preserve">Rule</x:t>
        </x:is>
      </x:c>
      <x:c r="E63" s="28" t="str">
        <x:v>R-EXAMPLE001-ADAM-006</x:v>
      </x:c>
      <x:c r="F63" s="28" t="inlineStr">
        <x:is>
          <x:t xml:space="preserve">Disable ADAM_SPEC metadata block</x:t>
        </x:is>
      </x:c>
      <x:c r="G63" s="28" t="inlineStr">
        <x:is>
          <x:t xml:space="preserve">R-020</x:t>
        </x:is>
      </x:c>
      <x:c r="H63" s="28" t="inlineStr">
        <x:is>
          <x:t xml:space="preserve">Rule</x:t>
        </x:is>
      </x:c>
      <x:c r="I63" s="28" t="inlineStr">
        <x:is>
          <x:t xml:space="preserve">Disable ADAM_SPEC metadata block</x:t>
        </x:is>
      </x:c>
      <x:c r="J63" s="28" t="n">
        <x:v>6</x:v>
      </x:c>
      <x:c r="K63" s="28" t="n">
        <x:v>6</x:v>
      </x:c>
      <x:c r="L63" s="28" t="inlineStr">
        <x:is>
          <x:t xml:space="preserve">None</x:t>
        </x:is>
      </x:c>
      <x:c r="M63" s="28" t="inlineStr">
        <x:is>
          <x:t xml:space="preserve">Unique source finding retained</x:t>
        </x:is>
      </x:c>
    </x:row>
    <x:row r="64" ht="42" customHeight="1">
      <x:c r="A64" s="28" t="str">
        <x:v>EXAMPLE002 SDTM</x:v>
      </x:c>
      <x:c r="B64" s="28" t="str">
        <x:v>EXAMPLE002</x:v>
      </x:c>
      <x:c r="C64" s="28" t="inlineStr">
        <x:is>
          <x:t xml:space="preserve">SDTM</x:t>
        </x:is>
      </x:c>
      <x:c r="D64" s="28" t="inlineStr">
        <x:is>
          <x:t xml:space="preserve">Rule</x:t>
        </x:is>
      </x:c>
      <x:c r="E64" s="28" t="str">
        <x:v>R-EXAMPLE002-SDTM-011</x:v>
      </x:c>
      <x:c r="F64" s="28" t="inlineStr">
        <x:is>
          <x:t xml:space="preserve">Normalize DATA libref case</x:t>
        </x:is>
      </x:c>
      <x:c r="G64" s="28" t="inlineStr">
        <x:is>
          <x:t xml:space="preserve">R-021</x:t>
        </x:is>
      </x:c>
      <x:c r="H64" s="28" t="inlineStr">
        <x:is>
          <x:t xml:space="preserve">Rule</x:t>
        </x:is>
      </x:c>
      <x:c r="I64" s="28" t="inlineStr">
        <x:is>
          <x:t xml:space="preserve">Normalize DATA libref case</x:t>
        </x:is>
      </x:c>
      <x:c r="J64" s="28" t="n">
        <x:v>6</x:v>
      </x:c>
      <x:c r="K64" s="28" t="n">
        <x:v>6</x:v>
      </x:c>
      <x:c r="L64" s="28" t="inlineStr">
        <x:is>
          <x:t xml:space="preserve">None</x:t>
        </x:is>
      </x:c>
      <x:c r="M64" s="28" t="inlineStr">
        <x:is>
          <x:t xml:space="preserve">Unique source finding retained</x:t>
        </x:is>
      </x:c>
    </x:row>
    <x:row r="65" ht="42" customHeight="1">
      <x:c r="A65" s="28" t="str">
        <x:v>EXAMPLE002 ADaM</x:v>
      </x:c>
      <x:c r="B65" s="28" t="str">
        <x:v>EXAMPLE002</x:v>
      </x:c>
      <x:c r="C65" s="28" t="inlineStr">
        <x:is>
          <x:t xml:space="preserve">ADaM</x:t>
        </x:is>
      </x:c>
      <x:c r="D65" s="28" t="inlineStr">
        <x:is>
          <x:t xml:space="preserve">Candidate</x:t>
        </x:is>
      </x:c>
      <x:c r="E65" s="28" t="str">
        <x:v>C-EXAMPLE002-ADAM-001</x:v>
      </x:c>
      <x:c r="F65" s="28" t="inlineStr">
        <x:is>
          <x:t xml:space="preserve">Add explicit SDTM libref</x:t>
        </x:is>
      </x:c>
      <x:c r="G65" s="28" t="inlineStr">
        <x:is>
          <x:t xml:space="preserve">R-022</x:t>
        </x:is>
      </x:c>
      <x:c r="H65" s="28" t="inlineStr">
        <x:is>
          <x:t xml:space="preserve">Rule</x:t>
        </x:is>
      </x:c>
      <x:c r="I65" s="28" t="str">
        <x:v>Make SDTM UTIL_GETDATA source explicit</x:v>
      </x:c>
      <x:c r="J65" s="28" t="n">
        <x:v>2</x:v>
      </x:c>
      <x:c r="K65" s="28" t="n">
        <x:v>1</x:v>
      </x:c>
      <x:c r="L65" s="28" t="inlineStr">
        <x:is>
          <x:t xml:space="preserve">None</x:t>
        </x:is>
      </x:c>
      <x:c r="M65" s="28" t="inlineStr">
        <x:is>
          <x:t xml:space="preserve">Merged with semantically similar source findings</x:t>
        </x:is>
      </x:c>
    </x:row>
    <x:row r="66" ht="42" customHeight="1">
      <x:c r="A66" s="28" t="str">
        <x:v>EXAMPLE002 SDTM</x:v>
      </x:c>
      <x:c r="B66" s="28" t="str">
        <x:v>EXAMPLE002</x:v>
      </x:c>
      <x:c r="C66" s="28" t="inlineStr">
        <x:is>
          <x:t xml:space="preserve">SDTM</x:t>
        </x:is>
      </x:c>
      <x:c r="D66" s="28" t="inlineStr">
        <x:is>
          <x:t xml:space="preserve">Rule</x:t>
        </x:is>
      </x:c>
      <x:c r="E66" s="28" t="str">
        <x:v>R-EXAMPLE002-SDTM-012</x:v>
      </x:c>
      <x:c r="F66" s="28" t="str">
        <x:v>Make UTIL_GETDATA source explicit</x:v>
      </x:c>
      <x:c r="G66" s="28" t="inlineStr">
        <x:is>
          <x:t xml:space="preserve">R-022</x:t>
        </x:is>
      </x:c>
      <x:c r="H66" s="28" t="inlineStr">
        <x:is>
          <x:t xml:space="preserve">Rule</x:t>
        </x:is>
      </x:c>
      <x:c r="I66" s="28" t="str">
        <x:v>Make SDTM UTIL_GETDATA source explicit</x:v>
      </x:c>
      <x:c r="J66" s="28" t="n">
        <x:v>2</x:v>
      </x:c>
      <x:c r="K66" s="28" t="n">
        <x:v>2</x:v>
      </x:c>
      <x:c r="L66" s="28" t="inlineStr">
        <x:is>
          <x:t xml:space="preserve">Conflicted</x:t>
        </x:is>
      </x:c>
      <x:c r="M66" s="28" t="inlineStr">
        <x:is>
          <x:t xml:space="preserve">Merged with semantically similar source findings</x:t>
        </x:is>
      </x:c>
    </x:row>
    <x:row r="67" ht="42" customHeight="1">
      <x:c r="A67" s="28" t="str">
        <x:v>EXAMPLE002 SDTM</x:v>
      </x:c>
      <x:c r="B67" s="28" t="str">
        <x:v>EXAMPLE002</x:v>
      </x:c>
      <x:c r="C67" s="28" t="inlineStr">
        <x:is>
          <x:t xml:space="preserve">SDTM</x:t>
        </x:is>
      </x:c>
      <x:c r="D67" s="28" t="inlineStr">
        <x:is>
          <x:t xml:space="preserve">Rule</x:t>
        </x:is>
      </x:c>
      <x:c r="E67" s="28" t="str">
        <x:v>R-EXAMPLE002-SDTM-013</x:v>
      </x:c>
      <x:c r="F67" s="28" t="inlineStr">
        <x:is>
          <x:t xml:space="preserve">Read DM from SDTM libref</x:t>
        </x:is>
      </x:c>
      <x:c r="G67" s="28" t="inlineStr">
        <x:is>
          <x:t xml:space="preserve">R-022</x:t>
        </x:is>
      </x:c>
      <x:c r="H67" s="28" t="inlineStr">
        <x:is>
          <x:t xml:space="preserve">Rule</x:t>
        </x:is>
      </x:c>
      <x:c r="I67" s="28" t="str">
        <x:v>Make SDTM UTIL_GETDATA source explicit</x:v>
      </x:c>
      <x:c r="J67" s="28" t="n">
        <x:v>2</x:v>
      </x:c>
      <x:c r="K67" s="28" t="n">
        <x:v>2</x:v>
      </x:c>
      <x:c r="L67" s="28" t="inlineStr">
        <x:is>
          <x:t xml:space="preserve">None</x:t>
        </x:is>
      </x:c>
      <x:c r="M67" s="28" t="inlineStr">
        <x:is>
          <x:t xml:space="preserve">Merged with semantically similar source findings</x:t>
        </x:is>
      </x:c>
    </x:row>
    <x:row r="68" ht="42" customHeight="1">
      <x:c r="A68" s="28" t="str">
        <x:v>EXAMPLE002 SDTM</x:v>
      </x:c>
      <x:c r="B68" s="28" t="str">
        <x:v>EXAMPLE002</x:v>
      </x:c>
      <x:c r="C68" s="28" t="inlineStr">
        <x:is>
          <x:t xml:space="preserve">SDTM</x:t>
        </x:is>
      </x:c>
      <x:c r="D68" s="28" t="inlineStr">
        <x:is>
          <x:t xml:space="preserve">Candidate</x:t>
        </x:is>
      </x:c>
      <x:c r="E68" s="28" t="str">
        <x:v>C-EXAMPLE002-SDTM-004</x:v>
      </x:c>
      <x:c r="F68" s="28" t="str">
        <x:v>Use Ext VENDORPK PK sources</x:v>
      </x:c>
      <x:c r="G68" s="28" t="inlineStr">
        <x:is>
          <x:t xml:space="preserve">R-023</x:t>
        </x:is>
      </x:c>
      <x:c r="H68" s="28" t="inlineStr">
        <x:is>
          <x:t xml:space="preserve">Rule</x:t>
        </x:is>
      </x:c>
      <x:c r="I68" s="28" t="str">
        <x:v>Route VENDORPK sources through Ext</x:v>
      </x:c>
      <x:c r="J68" s="28" t="n">
        <x:v>1</x:v>
      </x:c>
      <x:c r="K68" s="28" t="n">
        <x:v>1</x:v>
      </x:c>
      <x:c r="L68" s="28" t="inlineStr">
        <x:is>
          <x:t xml:space="preserve">None</x:t>
        </x:is>
      </x:c>
      <x:c r="M68" s="28" t="inlineStr">
        <x:is>
          <x:t xml:space="preserve">Merged with semantically similar source findings</x:t>
        </x:is>
      </x:c>
    </x:row>
    <x:row r="69" ht="42" customHeight="1">
      <x:c r="A69" s="28" t="str">
        <x:v>EXAMPLE002 SDTM</x:v>
      </x:c>
      <x:c r="B69" s="28" t="str">
        <x:v>EXAMPLE002</x:v>
      </x:c>
      <x:c r="C69" s="28" t="inlineStr">
        <x:is>
          <x:t xml:space="preserve">SDTM</x:t>
        </x:is>
      </x:c>
      <x:c r="D69" s="28" t="inlineStr">
        <x:is>
          <x:t xml:space="preserve">Candidate</x:t>
        </x:is>
      </x:c>
      <x:c r="E69" s="28" t="str">
        <x:v>C-EXAMPLE002-SDTM-005</x:v>
      </x:c>
      <x:c r="F69" s="28" t="str">
        <x:v>Use Ext VENDORPK NAB source</x:v>
      </x:c>
      <x:c r="G69" s="28" t="inlineStr">
        <x:is>
          <x:t xml:space="preserve">R-023</x:t>
        </x:is>
      </x:c>
      <x:c r="H69" s="28" t="inlineStr">
        <x:is>
          <x:t xml:space="preserve">Rule</x:t>
        </x:is>
      </x:c>
      <x:c r="I69" s="28" t="str">
        <x:v>Route VENDORPK sources through Ext</x:v>
      </x:c>
      <x:c r="J69" s="28" t="n">
        <x:v>1</x:v>
      </x:c>
      <x:c r="K69" s="28" t="n">
        <x:v>1</x:v>
      </x:c>
      <x:c r="L69" s="28" t="inlineStr">
        <x:is>
          <x:t xml:space="preserve">None</x:t>
        </x:is>
      </x:c>
      <x:c r="M69" s="28" t="inlineStr">
        <x:is>
          <x:t xml:space="preserve">Merged with semantically similar source findings</x:t>
        </x:is>
      </x:c>
    </x:row>
    <x:row r="70" ht="42" customHeight="1">
      <x:c r="A70" s="28" t="str">
        <x:v>EXAMPLE002 SDTM</x:v>
      </x:c>
      <x:c r="B70" s="28" t="str">
        <x:v>EXAMPLE002</x:v>
      </x:c>
      <x:c r="C70" s="28" t="inlineStr">
        <x:is>
          <x:t xml:space="preserve">SDTM</x:t>
        </x:is>
      </x:c>
      <x:c r="D70" s="28" t="inlineStr">
        <x:is>
          <x:t xml:space="preserve">Candidate</x:t>
        </x:is>
      </x:c>
      <x:c r="E70" s="28" t="str">
        <x:v>C-EXAMPLE002-SDTM-006</x:v>
      </x:c>
      <x:c r="F70" s="28" t="str">
        <x:v>Use Ext VENDORPK HAHA source</x:v>
      </x:c>
      <x:c r="G70" s="28" t="inlineStr">
        <x:is>
          <x:t xml:space="preserve">R-023</x:t>
        </x:is>
      </x:c>
      <x:c r="H70" s="28" t="inlineStr">
        <x:is>
          <x:t xml:space="preserve">Rule</x:t>
        </x:is>
      </x:c>
      <x:c r="I70" s="28" t="str">
        <x:v>Route VENDORPK sources through Ext</x:v>
      </x:c>
      <x:c r="J70" s="28" t="n">
        <x:v>1</x:v>
      </x:c>
      <x:c r="K70" s="28" t="n">
        <x:v>1</x:v>
      </x:c>
      <x:c r="L70" s="28" t="inlineStr">
        <x:is>
          <x:t xml:space="preserve">None</x:t>
        </x:is>
      </x:c>
      <x:c r="M70" s="28" t="inlineStr">
        <x:is>
          <x:t xml:space="preserve">Merged with semantically similar source findings</x:t>
        </x:is>
      </x:c>
    </x:row>
    <x:row r="71" ht="42" customHeight="1">
      <x:c r="A71" s="28" t="str">
        <x:v>EXAMPLE002 SDTM</x:v>
      </x:c>
      <x:c r="B71" s="28" t="str">
        <x:v>EXAMPLE002</x:v>
      </x:c>
      <x:c r="C71" s="28" t="inlineStr">
        <x:is>
          <x:t xml:space="preserve">SDTM</x:t>
        </x:is>
      </x:c>
      <x:c r="D71" s="28" t="inlineStr">
        <x:is>
          <x:t xml:space="preserve">Candidate</x:t>
        </x:is>
      </x:c>
      <x:c r="E71" s="28" t="str">
        <x:v>C-EXAMPLE002-SDTM-007</x:v>
      </x:c>
      <x:c r="F71" s="28" t="str">
        <x:v>Use Ext VENDORPK sources in SV</x:v>
      </x:c>
      <x:c r="G71" s="28" t="inlineStr">
        <x:is>
          <x:t xml:space="preserve">R-023</x:t>
        </x:is>
      </x:c>
      <x:c r="H71" s="28" t="inlineStr">
        <x:is>
          <x:t xml:space="preserve">Rule</x:t>
        </x:is>
      </x:c>
      <x:c r="I71" s="28" t="str">
        <x:v>Route VENDORPK sources through Ext</x:v>
      </x:c>
      <x:c r="J71" s="28" t="n">
        <x:v>1</x:v>
      </x:c>
      <x:c r="K71" s="28" t="n">
        <x:v>1</x:v>
      </x:c>
      <x:c r="L71" s="28" t="inlineStr">
        <x:is>
          <x:t xml:space="preserve">None</x:t>
        </x:is>
      </x:c>
      <x:c r="M71" s="28" t="inlineStr">
        <x:is>
          <x:t xml:space="preserve">Merged with semantically similar source findings</x:t>
        </x:is>
      </x:c>
    </x:row>
    <x:row r="72" ht="42" customHeight="1">
      <x:c r="A72" s="28" t="str">
        <x:v>EXAMPLE002 SDTM</x:v>
      </x:c>
      <x:c r="B72" s="28" t="str">
        <x:v>EXAMPLE002</x:v>
      </x:c>
      <x:c r="C72" s="28" t="inlineStr">
        <x:is>
          <x:t xml:space="preserve">SDTM</x:t>
        </x:is>
      </x:c>
      <x:c r="D72" s="28" t="inlineStr">
        <x:is>
          <x:t xml:space="preserve">Rule</x:t>
        </x:is>
      </x:c>
      <x:c r="E72" s="28" t="str">
        <x:v>R-EXAMPLE002-SDTM-010</x:v>
      </x:c>
      <x:c r="F72" s="28" t="inlineStr">
        <x:is>
          <x:t xml:space="preserve">Disable selected SDTM QC</x:t>
        </x:is>
      </x:c>
      <x:c r="G72" s="28" t="inlineStr">
        <x:is>
          <x:t xml:space="preserve">R-024</x:t>
        </x:is>
      </x:c>
      <x:c r="H72" s="28" t="inlineStr">
        <x:is>
          <x:t xml:space="preserve">Rule</x:t>
        </x:is>
      </x:c>
      <x:c r="I72" s="28" t="inlineStr">
        <x:is>
          <x:t xml:space="preserve">Disable selected SDTM QC</x:t>
        </x:is>
      </x:c>
      <x:c r="J72" s="28" t="n">
        <x:v>3</x:v>
      </x:c>
      <x:c r="K72" s="28" t="n">
        <x:v>3</x:v>
      </x:c>
      <x:c r="L72" s="28" t="inlineStr">
        <x:is>
          <x:t xml:space="preserve">Conflicted</x:t>
        </x:is>
      </x:c>
      <x:c r="M72" s="28" t="inlineStr">
        <x:is>
          <x:t xml:space="preserve">Unique source finding retained</x:t>
        </x:is>
      </x:c>
    </x:row>
    <x:row r="73" ht="42" customHeight="1">
      <x:c r="A73" s="28" t="str">
        <x:v>EXAMPLE002 SDTM</x:v>
      </x:c>
      <x:c r="B73" s="28" t="str">
        <x:v>EXAMPLE002</x:v>
      </x:c>
      <x:c r="C73" s="28" t="inlineStr">
        <x:is>
          <x:t xml:space="preserve">SDTM</x:t>
        </x:is>
      </x:c>
      <x:c r="D73" s="28" t="inlineStr">
        <x:is>
          <x:t xml:space="preserve">Rule</x:t>
        </x:is>
      </x:c>
      <x:c r="E73" s="28" t="str">
        <x:v>R-EXAMPLE002-SDTM-005</x:v>
      </x:c>
      <x:c r="F73" s="28" t="str">
        <x:v>Route Vendorlab through Ext</x:v>
      </x:c>
      <x:c r="G73" s="28" t="inlineStr">
        <x:is>
          <x:t xml:space="preserve">R-025</x:t>
        </x:is>
      </x:c>
      <x:c r="H73" s="28" t="inlineStr">
        <x:is>
          <x:t xml:space="preserve">Rule</x:t>
        </x:is>
      </x:c>
      <x:c r="I73" s="28" t="str">
        <x:v>Route Vendorlab through Ext</x:v>
      </x:c>
      <x:c r="J73" s="28" t="n">
        <x:v>3</x:v>
      </x:c>
      <x:c r="K73" s="28" t="n">
        <x:v>3</x:v>
      </x:c>
      <x:c r="L73" s="28" t="inlineStr">
        <x:is>
          <x:t xml:space="preserve">Conflicted</x:t>
        </x:is>
      </x:c>
      <x:c r="M73" s="28" t="inlineStr">
        <x:is>
          <x:t xml:space="preserve">Unique source finding retained</x:t>
        </x:is>
      </x:c>
    </x:row>
    <x:row r="74" ht="42" customHeight="1">
      <x:c r="A74" s="28" t="str">
        <x:v>EXAMPLE002 ADaM</x:v>
      </x:c>
      <x:c r="B74" s="28" t="str">
        <x:v>EXAMPLE002</x:v>
      </x:c>
      <x:c r="C74" s="28" t="inlineStr">
        <x:is>
          <x:t xml:space="preserve">ADaM</x:t>
        </x:is>
      </x:c>
      <x:c r="D74" s="28" t="inlineStr">
        <x:is>
          <x:t xml:space="preserve">Candidate</x:t>
        </x:is>
      </x:c>
      <x:c r="E74" s="28" t="str">
        <x:v>C-EXAMPLE002-ADAM-004</x:v>
      </x:c>
      <x:c r="F74" s="28" t="inlineStr">
        <x:is>
          <x:t xml:space="preserve">Redirect PROC CONTENTS library</x:t>
        </x:is>
      </x:c>
      <x:c r="G74" s="28" t="inlineStr">
        <x:is>
          <x:t xml:space="preserve">R-026</x:t>
        </x:is>
      </x:c>
      <x:c r="H74" s="28" t="inlineStr">
        <x:is>
          <x:t xml:space="preserve">Rule</x:t>
        </x:is>
      </x:c>
      <x:c r="I74" s="28" t="inlineStr">
        <x:is>
          <x:t xml:space="preserve">Redirect direct ADaM qualifier</x:t>
        </x:is>
      </x:c>
      <x:c r="J74" s="28" t="n">
        <x:v>1</x:v>
      </x:c>
      <x:c r="K74" s="28" t="n">
        <x:v>1</x:v>
      </x:c>
      <x:c r="L74" s="28" t="inlineStr">
        <x:is>
          <x:t xml:space="preserve">None</x:t>
        </x:is>
      </x:c>
      <x:c r="M74" s="28" t="inlineStr">
        <x:is>
          <x:t xml:space="preserve">Merged with semantically similar source findings</x:t>
        </x:is>
      </x:c>
    </x:row>
    <x:row r="75" ht="42" customHeight="1">
      <x:c r="A75" s="28" t="str">
        <x:v>EXAMPLE002 TLF</x:v>
      </x:c>
      <x:c r="B75" s="28" t="str">
        <x:v>EXAMPLE002</x:v>
      </x:c>
      <x:c r="C75" s="28" t="inlineStr">
        <x:is>
          <x:t xml:space="preserve">TLF</x:t>
        </x:is>
      </x:c>
      <x:c r="D75" s="28" t="inlineStr">
        <x:is>
          <x:t xml:space="preserve">Candidate</x:t>
        </x:is>
      </x:c>
      <x:c r="E75" s="28" t="str">
        <x:v>C-EXAMPLE002-TLF-001</x:v>
      </x:c>
      <x:c r="F75" s="28" t="inlineStr">
        <x:is>
          <x:t xml:space="preserve">Redirect direct ADaM qualifier</x:t>
        </x:is>
      </x:c>
      <x:c r="G75" s="28" t="inlineStr">
        <x:is>
          <x:t xml:space="preserve">R-026</x:t>
        </x:is>
      </x:c>
      <x:c r="H75" s="28" t="inlineStr">
        <x:is>
          <x:t xml:space="preserve">Rule</x:t>
        </x:is>
      </x:c>
      <x:c r="I75" s="28" t="inlineStr">
        <x:is>
          <x:t xml:space="preserve">Redirect direct ADaM qualifier</x:t>
        </x:is>
      </x:c>
      <x:c r="J75" s="28" t="n">
        <x:v>2</x:v>
      </x:c>
      <x:c r="K75" s="28" t="n">
        <x:v>1</x:v>
      </x:c>
      <x:c r="L75" s="28" t="inlineStr">
        <x:is>
          <x:t xml:space="preserve">None</x:t>
        </x:is>
      </x:c>
      <x:c r="M75" s="28" t="inlineStr">
        <x:is>
          <x:t xml:space="preserve">Merged with semantically similar source findings</x:t>
        </x:is>
      </x:c>
    </x:row>
    <x:row r="76" ht="42" customHeight="1">
      <x:c r="A76" s="28" t="str">
        <x:v>EXAMPLE002 SDTM</x:v>
      </x:c>
      <x:c r="B76" s="28" t="str">
        <x:v>EXAMPLE002</x:v>
      </x:c>
      <x:c r="C76" s="28" t="inlineStr">
        <x:is>
          <x:t xml:space="preserve">SDTM</x:t>
        </x:is>
      </x:c>
      <x:c r="D76" s="28" t="inlineStr">
        <x:is>
          <x:t xml:space="preserve">Rule</x:t>
        </x:is>
      </x:c>
      <x:c r="E76" s="28" t="str">
        <x:v>R-EXAMPLE002-SDTM-004</x:v>
      </x:c>
      <x:c r="F76" s="28" t="str">
        <x:v>Route Vendortreatment through Ext</x:v>
      </x:c>
      <x:c r="G76" s="28" t="inlineStr">
        <x:is>
          <x:t xml:space="preserve">R-027</x:t>
        </x:is>
      </x:c>
      <x:c r="H76" s="28" t="inlineStr">
        <x:is>
          <x:t xml:space="preserve">Rule</x:t>
        </x:is>
      </x:c>
      <x:c r="I76" s="28" t="str">
        <x:v>Route Vendortreatment through Ext</x:v>
      </x:c>
      <x:c r="J76" s="28" t="n">
        <x:v>3</x:v>
      </x:c>
      <x:c r="K76" s="28" t="n">
        <x:v>2</x:v>
      </x:c>
      <x:c r="L76" s="28" t="inlineStr">
        <x:is>
          <x:t xml:space="preserve">None</x:t>
        </x:is>
      </x:c>
      <x:c r="M76" s="28" t="inlineStr">
        <x:is>
          <x:t xml:space="preserve">Unique source finding retained</x:t>
        </x:is>
      </x:c>
    </x:row>
    <x:row r="77" ht="42" customHeight="1">
      <x:c r="A77" s="28" t="str">
        <x:v>EXAMPLE002 SDTM</x:v>
      </x:c>
      <x:c r="B77" s="28" t="str">
        <x:v>EXAMPLE002</x:v>
      </x:c>
      <x:c r="C77" s="28" t="inlineStr">
        <x:is>
          <x:t xml:space="preserve">SDTM</x:t>
        </x:is>
      </x:c>
      <x:c r="D77" s="28" t="inlineStr">
        <x:is>
          <x:t xml:space="preserve">Rule</x:t>
        </x:is>
      </x:c>
      <x:c r="E77" s="28" t="str">
        <x:v>R-EXAMPLE002-SDTM-014</x:v>
      </x:c>
      <x:c r="F77" s="28" t="inlineStr">
        <x:is>
          <x:t xml:space="preserve">Assign DATA to SCE SDTM</x:t>
        </x:is>
      </x:c>
      <x:c r="G77" s="28" t="inlineStr">
        <x:is>
          <x:t xml:space="preserve">R-028</x:t>
        </x:is>
      </x:c>
      <x:c r="H77" s="28" t="inlineStr">
        <x:is>
          <x:t xml:space="preserve">Rule</x:t>
        </x:is>
      </x:c>
      <x:c r="I77" s="28" t="inlineStr">
        <x:is>
          <x:t xml:space="preserve">Assign DATA to SCE SDTM</x:t>
        </x:is>
      </x:c>
      <x:c r="J77" s="28" t="n">
        <x:v>2</x:v>
      </x:c>
      <x:c r="K77" s="28" t="n">
        <x:v>2</x:v>
      </x:c>
      <x:c r="L77" s="28" t="inlineStr">
        <x:is>
          <x:t xml:space="preserve">None</x:t>
        </x:is>
      </x:c>
      <x:c r="M77" s="28" t="inlineStr">
        <x:is>
          <x:t xml:space="preserve">Unique source finding retained</x:t>
        </x:is>
      </x:c>
    </x:row>
    <x:row r="78" ht="42" customHeight="1">
      <x:c r="A78" s="28" t="str">
        <x:v>EXAMPLE001 SDTM</x:v>
      </x:c>
      <x:c r="B78" s="28" t="str">
        <x:v>EXAMPLE001</x:v>
      </x:c>
      <x:c r="C78" s="28" t="inlineStr">
        <x:is>
          <x:t xml:space="preserve">SDTM</x:t>
        </x:is>
      </x:c>
      <x:c r="D78" s="28" t="inlineStr">
        <x:is>
          <x:t xml:space="preserve">Candidate</x:t>
        </x:is>
      </x:c>
      <x:c r="E78" s="28" t="str">
        <x:v>C-EXAMPLE001-SDTM-011</x:v>
      </x:c>
      <x:c r="F78" s="28" t="inlineStr">
        <x:is>
          <x:t xml:space="preserve">Disable legacy SETUP call</x:t>
        </x:is>
      </x:c>
      <x:c r="G78" s="28" t="inlineStr">
        <x:is>
          <x:t xml:space="preserve">R-029</x:t>
        </x:is>
      </x:c>
      <x:c r="H78" s="28" t="inlineStr">
        <x:is>
          <x:t xml:space="preserve">Rule</x:t>
        </x:is>
      </x:c>
      <x:c r="I78" s="28" t="inlineStr">
        <x:is>
          <x:t xml:space="preserve">Disable legacy SETUP driver</x:t>
        </x:is>
      </x:c>
      <x:c r="J78" s="28" t="n">
        <x:v>1</x:v>
      </x:c>
      <x:c r="K78" s="28" t="n">
        <x:v>1</x:v>
      </x:c>
      <x:c r="L78" s="28" t="inlineStr">
        <x:is>
          <x:t xml:space="preserve">None</x:t>
        </x:is>
      </x:c>
      <x:c r="M78" s="28" t="inlineStr">
        <x:is>
          <x:t xml:space="preserve">Merged with semantically similar source findings</x:t>
        </x:is>
      </x:c>
    </x:row>
    <x:row r="79" ht="42" customHeight="1">
      <x:c r="A79" s="28" t="str">
        <x:v>EXAMPLE001 TLF</x:v>
      </x:c>
      <x:c r="B79" s="28" t="str">
        <x:v>EXAMPLE001</x:v>
      </x:c>
      <x:c r="C79" s="28" t="inlineStr">
        <x:is>
          <x:t xml:space="preserve">TLF</x:t>
        </x:is>
      </x:c>
      <x:c r="D79" s="28" t="inlineStr">
        <x:is>
          <x:t xml:space="preserve">Candidate</x:t>
        </x:is>
      </x:c>
      <x:c r="E79" s="28" t="str">
        <x:v>C-EXAMPLE001-TLF-006</x:v>
      </x:c>
      <x:c r="F79" s="28" t="inlineStr">
        <x:is>
          <x:t xml:space="preserve">Disable legacy SETUP driver</x:t>
        </x:is>
      </x:c>
      <x:c r="G79" s="28" t="inlineStr">
        <x:is>
          <x:t xml:space="preserve">R-029</x:t>
        </x:is>
      </x:c>
      <x:c r="H79" s="28" t="inlineStr">
        <x:is>
          <x:t xml:space="preserve">Rule</x:t>
        </x:is>
      </x:c>
      <x:c r="I79" s="28" t="inlineStr">
        <x:is>
          <x:t xml:space="preserve">Disable legacy SETUP driver</x:t>
        </x:is>
      </x:c>
      <x:c r="J79" s="28" t="n">
        <x:v>1</x:v>
      </x:c>
      <x:c r="K79" s="28" t="n">
        <x:v>1</x:v>
      </x:c>
      <x:c r="L79" s="28" t="inlineStr">
        <x:is>
          <x:t xml:space="preserve">None</x:t>
        </x:is>
      </x:c>
      <x:c r="M79" s="28" t="inlineStr">
        <x:is>
          <x:t xml:space="preserve">Merged with semantically similar source findings</x:t>
        </x:is>
      </x:c>
    </x:row>
    <x:row r="80" ht="42" customHeight="1">
      <x:c r="A80" s="28" t="str">
        <x:v>EXAMPLE001 SDTM</x:v>
      </x:c>
      <x:c r="B80" s="28" t="str">
        <x:v>EXAMPLE001</x:v>
      </x:c>
      <x:c r="C80" s="28" t="inlineStr">
        <x:is>
          <x:t xml:space="preserve">SDTM</x:t>
        </x:is>
      </x:c>
      <x:c r="D80" s="28" t="inlineStr">
        <x:is>
          <x:t xml:space="preserve">Candidate</x:t>
        </x:is>
      </x:c>
      <x:c r="E80" s="28" t="str">
        <x:v>C-EXAMPLE001-SDTM-012</x:v>
      </x:c>
      <x:c r="F80" s="28" t="inlineStr">
        <x:is>
          <x:t xml:space="preserve">Rebuild SCE log checker</x:t>
        </x:is>
      </x:c>
      <x:c r="G80" s="28" t="inlineStr">
        <x:is>
          <x:t xml:space="preserve">R-030</x:t>
        </x:is>
      </x:c>
      <x:c r="H80" s="28" t="inlineStr">
        <x:is>
          <x:t xml:space="preserve">Rule</x:t>
        </x:is>
      </x:c>
      <x:c r="I80" s="28" t="inlineStr">
        <x:is>
          <x:t xml:space="preserve">Rebuild SCE log checker</x:t>
        </x:is>
      </x:c>
      <x:c r="J80" s="28" t="n">
        <x:v>1</x:v>
      </x:c>
      <x:c r="K80" s="28" t="n">
        <x:v>1</x:v>
      </x:c>
      <x:c r="L80" s="28" t="inlineStr">
        <x:is>
          <x:t xml:space="preserve">None</x:t>
        </x:is>
      </x:c>
      <x:c r="M80" s="28" t="inlineStr">
        <x:is>
          <x:t xml:space="preserve">Merged with semantically similar source findings</x:t>
        </x:is>
      </x:c>
    </x:row>
    <x:row r="81" ht="42" customHeight="1">
      <x:c r="A81" s="28" t="str">
        <x:v>EXAMPLE001 TLF</x:v>
      </x:c>
      <x:c r="B81" s="28" t="str">
        <x:v>EXAMPLE001</x:v>
      </x:c>
      <x:c r="C81" s="28" t="inlineStr">
        <x:is>
          <x:t xml:space="preserve">TLF</x:t>
        </x:is>
      </x:c>
      <x:c r="D81" s="28" t="inlineStr">
        <x:is>
          <x:t xml:space="preserve">Candidate</x:t>
        </x:is>
      </x:c>
      <x:c r="E81" s="28" t="str">
        <x:v>C-EXAMPLE001-TLF-007</x:v>
      </x:c>
      <x:c r="F81" s="28" t="inlineStr">
        <x:is>
          <x:t xml:space="preserve">Rebuild SCE log checker</x:t>
        </x:is>
      </x:c>
      <x:c r="G81" s="28" t="inlineStr">
        <x:is>
          <x:t xml:space="preserve">R-030</x:t>
        </x:is>
      </x:c>
      <x:c r="H81" s="28" t="inlineStr">
        <x:is>
          <x:t xml:space="preserve">Rule</x:t>
        </x:is>
      </x:c>
      <x:c r="I81" s="28" t="inlineStr">
        <x:is>
          <x:t xml:space="preserve">Rebuild SCE log checker</x:t>
        </x:is>
      </x:c>
      <x:c r="J81" s="28" t="n">
        <x:v>1</x:v>
      </x:c>
      <x:c r="K81" s="28" t="n">
        <x:v>1</x:v>
      </x:c>
      <x:c r="L81" s="28" t="inlineStr">
        <x:is>
          <x:t xml:space="preserve">None</x:t>
        </x:is>
      </x:c>
      <x:c r="M81" s="28" t="inlineStr">
        <x:is>
          <x:t xml:space="preserve">Merged with semantically similar source findings</x:t>
        </x:is>
      </x:c>
    </x:row>
    <x:row r="82" ht="42" customHeight="1">
      <x:c r="A82" s="28" t="str">
        <x:v>EXAMPLE002 SDTM</x:v>
      </x:c>
      <x:c r="B82" s="28" t="str">
        <x:v>EXAMPLE002</x:v>
      </x:c>
      <x:c r="C82" s="28" t="inlineStr">
        <x:is>
          <x:t xml:space="preserve">SDTM</x:t>
        </x:is>
      </x:c>
      <x:c r="D82" s="28" t="inlineStr">
        <x:is>
          <x:t xml:space="preserve">Rule</x:t>
        </x:is>
      </x:c>
      <x:c r="E82" s="28" t="str">
        <x:v>R-EXAMPLE002-SDTM-015</x:v>
      </x:c>
      <x:c r="F82" s="28" t="str">
        <x:v>Resolve Vendorimaginga imaging source</x:v>
      </x:c>
      <x:c r="G82" s="28" t="inlineStr">
        <x:is>
          <x:t xml:space="preserve">R-031</x:t>
        </x:is>
      </x:c>
      <x:c r="H82" s="28" t="inlineStr">
        <x:is>
          <x:t xml:space="preserve">Rule</x:t>
        </x:is>
      </x:c>
      <x:c r="I82" s="28" t="str">
        <x:v>Resolve Vendorimaginga imaging source</x:v>
      </x:c>
      <x:c r="J82" s="28" t="n">
        <x:v>2</x:v>
      </x:c>
      <x:c r="K82" s="28" t="n">
        <x:v>2</x:v>
      </x:c>
      <x:c r="L82" s="28" t="inlineStr">
        <x:is>
          <x:t xml:space="preserve">Conflicted</x:t>
        </x:is>
      </x:c>
      <x:c r="M82" s="28" t="inlineStr">
        <x:is>
          <x:t xml:space="preserve">Unique source finding retained</x:t>
        </x:is>
      </x:c>
    </x:row>
    <x:row r="83" ht="42" customHeight="1">
      <x:c r="A83" s="28" t="str">
        <x:v>EXAMPLE002 SDTM</x:v>
      </x:c>
      <x:c r="B83" s="28" t="str">
        <x:v>EXAMPLE002</x:v>
      </x:c>
      <x:c r="C83" s="28" t="inlineStr">
        <x:is>
          <x:t xml:space="preserve">SDTM</x:t>
        </x:is>
      </x:c>
      <x:c r="D83" s="28" t="inlineStr">
        <x:is>
          <x:t xml:space="preserve">Rule</x:t>
        </x:is>
      </x:c>
      <x:c r="E83" s="28" t="str">
        <x:v>R-EXAMPLE002-SDTM-007</x:v>
      </x:c>
      <x:c r="F83" s="28" t="inlineStr">
        <x:is>
          <x:t xml:space="preserve">Route ILD through Ext</x:t>
        </x:is>
      </x:c>
      <x:c r="G83" s="28" t="inlineStr">
        <x:is>
          <x:t xml:space="preserve">R-032</x:t>
        </x:is>
      </x:c>
      <x:c r="H83" s="28" t="inlineStr">
        <x:is>
          <x:t xml:space="preserve">Rule</x:t>
        </x:is>
      </x:c>
      <x:c r="I83" s="28" t="inlineStr">
        <x:is>
          <x:t xml:space="preserve">Route ILD through Ext</x:t>
        </x:is>
      </x:c>
      <x:c r="J83" s="28" t="n">
        <x:v>2</x:v>
      </x:c>
      <x:c r="K83" s="28" t="n">
        <x:v>2</x:v>
      </x:c>
      <x:c r="L83" s="28" t="inlineStr">
        <x:is>
          <x:t xml:space="preserve">Conflicted</x:t>
        </x:is>
      </x:c>
      <x:c r="M83" s="28" t="inlineStr">
        <x:is>
          <x:t xml:space="preserve">Unique source finding retained</x:t>
        </x:is>
      </x:c>
    </x:row>
    <x:row r="84" ht="42" customHeight="1">
      <x:c r="A84" s="28" t="str">
        <x:v>EXAMPLE002 SDTM</x:v>
      </x:c>
      <x:c r="B84" s="28" t="str">
        <x:v>EXAMPLE002</x:v>
      </x:c>
      <x:c r="C84" s="28" t="inlineStr">
        <x:is>
          <x:t xml:space="preserve">SDTM</x:t>
        </x:is>
      </x:c>
      <x:c r="D84" s="28" t="inlineStr">
        <x:is>
          <x:t xml:space="preserve">Rule</x:t>
        </x:is>
      </x:c>
      <x:c r="E84" s="28" t="str">
        <x:v>R-EXAMPLE002-SDTM-006</x:v>
      </x:c>
      <x:c r="F84" s="28" t="str">
        <x:v>Route VendorLabB through Ext</x:v>
      </x:c>
      <x:c r="G84" s="28" t="inlineStr">
        <x:is>
          <x:t xml:space="preserve">R-033</x:t>
        </x:is>
      </x:c>
      <x:c r="H84" s="28" t="inlineStr">
        <x:is>
          <x:t xml:space="preserve">Rule</x:t>
        </x:is>
      </x:c>
      <x:c r="I84" s="28" t="str">
        <x:v>Route VendorLabB through Ext</x:v>
      </x:c>
      <x:c r="J84" s="28" t="n">
        <x:v>2</x:v>
      </x:c>
      <x:c r="K84" s="28" t="n">
        <x:v>2</x:v>
      </x:c>
      <x:c r="L84" s="28" t="inlineStr">
        <x:is>
          <x:t xml:space="preserve">None</x:t>
        </x:is>
      </x:c>
      <x:c r="M84" s="28" t="inlineStr">
        <x:is>
          <x:t xml:space="preserve">Unique source finding retained</x:t>
        </x:is>
      </x:c>
    </x:row>
  </x:sheetData>
  <x:mergeCells>
    <x:mergeCell ref="A2:M2"/>
    <x:mergeCell ref="A1:M1"/>
  </x:mergeCells>
  <x:pageMargins left="0.7" right="0.7" top="0.75" bottom="0.75" header="0.3" footer="0.3"/>
  <x:tableParts count="1">
    <x:tablePart xmlns:r="http://schemas.openxmlformats.org/officeDocument/2006/relationships" r:id="R87eba432a8f44028"/>
  </x:tableParts>
</x:worksheet>
</file>

<file path=xl/worksheets/sheet4.xml><?xml version="1.0" encoding="utf-8"?>
<x:worksheet xmlns:x="http://schemas.openxmlformats.org/spreadsheetml/2006/main">
  <x:sheetFormatPr baseColWidth="8" defaultRowHeight="15"/>
  <x:cols>
    <x:col min="1" max="1" width="13" customWidth="1"/>
    <x:col min="2" max="2" width="14" customWidth="1"/>
    <x:col min="3" max="3" width="30" customWidth="1"/>
    <x:col min="4" max="4" width="14" customWidth="1"/>
    <x:col min="5" max="5" width="9" customWidth="1"/>
    <x:col min="6" max="6" width="10" customWidth="1"/>
    <x:col min="7" max="7" width="20" customWidth="1"/>
    <x:col min="8" max="8" width="17" customWidth="1"/>
    <x:col min="9" max="9" width="22" customWidth="1"/>
    <x:col min="10" max="10" width="28" customWidth="1"/>
    <x:col min="11" max="11" width="28" customWidth="1"/>
    <x:col min="12" max="12" width="17" customWidth="1"/>
    <x:col min="13" max="13" width="17" customWidth="1"/>
    <x:col min="14" max="14" width="62" customWidth="1"/>
    <x:col min="15" max="15" width="62" customWidth="1"/>
    <x:col min="16" max="16" width="12" customWidth="1"/>
    <x:col min="17" max="17" width="30" customWidth="1"/>
    <x:col min="18" max="18" width="45" customWidth="1"/>
  </x:cols>
  <x:sheetData>
    <x:row r="1" ht="27" customHeight="1">
      <x:c r="A1" s="7" t="inlineStr">
        <x:is>
          <x:t xml:space="preserve">Combined Rule Evidence</x:t>
        </x:is>
      </x:c>
      <x:c r="B1" s="1" t="n"/>
      <x:c r="C1" s="1" t="n"/>
      <x:c r="D1" s="1" t="n"/>
      <x:c r="E1" s="1" t="n"/>
      <x:c r="F1" s="1" t="n"/>
      <x:c r="G1" s="1" t="n"/>
      <x:c r="H1" s="1" t="n"/>
      <x:c r="I1" s="1" t="n"/>
      <x:c r="J1" s="1" t="n"/>
      <x:c r="K1" s="1" t="n"/>
      <x:c r="L1" s="1" t="n"/>
      <x:c r="M1" s="1" t="n"/>
      <x:c r="N1" s="1" t="n"/>
      <x:c r="O1" s="1" t="n"/>
      <x:c r="P1" s="1" t="n"/>
      <x:c r="Q1" s="1" t="n"/>
      <x:c r="R1" s="1" t="n"/>
    </x:row>
    <x:row r="2" ht="34" customHeight="1">
      <x:c r="A2" s="15" t="inlineStr">
        <x:is>
          <x:t xml:space="preserve">Audit rows removed for public distribution.</x:t>
        </x:is>
      </x:c>
      <x:c r="B2" s="1" t="n"/>
      <x:c r="C2" s="1" t="n"/>
      <x:c r="D2" s="1" t="n"/>
      <x:c r="E2" s="1" t="n"/>
      <x:c r="F2" s="1" t="n"/>
      <x:c r="G2" s="1" t="n"/>
      <x:c r="H2" s="1" t="n"/>
      <x:c r="I2" s="1" t="n"/>
      <x:c r="J2" s="1" t="n"/>
      <x:c r="K2" s="1" t="n"/>
      <x:c r="L2" s="1" t="n"/>
      <x:c r="M2" s="1" t="n"/>
      <x:c r="N2" s="1" t="n"/>
      <x:c r="O2" s="1" t="n"/>
      <x:c r="P2" s="1" t="n"/>
      <x:c r="Q2" s="1" t="n"/>
      <x:c r="R2" s="1" t="n"/>
    </x:row>
    <x:row r="3" ht="36" customHeight="1">
      <x:c r="A3" s="20" t="inlineStr">
        <x:is>
          <x:t xml:space="preserve">Global Rule ID</x:t>
        </x:is>
      </x:c>
      <x:c r="B3" s="20" t="inlineStr">
        <x:is>
          <x:t xml:space="preserve">Global Type</x:t>
        </x:is>
      </x:c>
      <x:c r="C3" s="20" t="inlineStr">
        <x:is>
          <x:t xml:space="preserve">Global Short Title</x:t>
        </x:is>
      </x:c>
      <x:c r="D3" s="20" t="inlineStr">
        <x:is>
          <x:t xml:space="preserve">Batch</x:t>
        </x:is>
      </x:c>
      <x:c r="E3" s="20" t="inlineStr">
        <x:is>
          <x:t xml:space="preserve">Study</x:t>
        </x:is>
      </x:c>
      <x:c r="F3" s="20" t="inlineStr">
        <x:is>
          <x:t xml:space="preserve">Domain</x:t>
        </x:is>
      </x:c>
      <x:c r="G3" s="20" t="inlineStr">
        <x:is>
          <x:t xml:space="preserve">Original Rule ID</x:t>
        </x:is>
      </x:c>
      <x:c r="H3" s="20" t="inlineStr">
        <x:is>
          <x:t xml:space="preserve">Finding Type</x:t>
        </x:is>
      </x:c>
      <x:c r="I3" s="20" t="inlineStr">
        <x:is>
          <x:t xml:space="preserve">Program Name</x:t>
        </x:is>
      </x:c>
      <x:c r="J3" s="20" t="inlineStr">
        <x:is>
          <x:t xml:space="preserve">Before Relative Path</x:t>
        </x:is>
      </x:c>
      <x:c r="K3" s="20" t="inlineStr">
        <x:is>
          <x:t xml:space="preserve">After Relative Path</x:t>
        </x:is>
      </x:c>
      <x:c r="L3" s="20" t="inlineStr">
        <x:is>
          <x:t xml:space="preserve">Before Line Number</x:t>
        </x:is>
      </x:c>
      <x:c r="M3" s="20" t="inlineStr">
        <x:is>
          <x:t xml:space="preserve">After Line Number</x:t>
        </x:is>
      </x:c>
      <x:c r="N3" s="20" t="inlineStr">
        <x:is>
          <x:t xml:space="preserve">Before Line Verbatim</x:t>
        </x:is>
      </x:c>
      <x:c r="O3" s="20" t="inlineStr">
        <x:is>
          <x:t xml:space="preserve">After Line Verbatim</x:t>
        </x:is>
      </x:c>
      <x:c r="P3" s="20" t="inlineStr">
        <x:is>
          <x:t xml:space="preserve">Axis</x:t>
        </x:is>
      </x:c>
      <x:c r="Q3" s="20" t="inlineStr">
        <x:is>
          <x:t xml:space="preserve">Category</x:t>
        </x:is>
      </x:c>
      <x:c r="R3" s="20" t="inlineStr">
        <x:is>
          <x:t xml:space="preserve">Evidence Note</x:t>
        </x:is>
      </x:c>
    </x:row>
    <x:row r="4" ht="68" customHeight="1">
      <x:c r="A4" s="28" t="inlineStr">
        <x:is>
          <x:t xml:space="preserve">Removed for public distribution</x:t>
        </x:is>
      </x:c>
      <x:c r="B4" s="28" t="n"/>
      <x:c r="C4" s="28" t="n"/>
      <x:c r="D4" s="28" t="n"/>
      <x:c r="E4" s="28" t="n"/>
      <x:c r="F4" s="28" t="n"/>
      <x:c r="G4" s="28" t="n"/>
      <x:c r="H4" s="28" t="n"/>
      <x:c r="I4" s="28" t="n"/>
      <x:c r="J4" s="28" t="n"/>
      <x:c r="K4" s="28" t="n"/>
      <x:c r="L4" s="28" t="n"/>
      <x:c r="M4" s="28" t="n"/>
      <x:c r="N4" s="28" t="n"/>
      <x:c r="O4" s="28" t="n"/>
      <x:c r="P4" s="28" t="n"/>
      <x:c r="Q4" s="28" t="n"/>
      <x:c r="R4" s="28" t="n"/>
    </x:row>
    <x:row r="5" ht="68" customHeight="1"/>
    <x:row r="6" ht="68" customHeight="1"/>
    <x:row r="7" ht="68" customHeight="1"/>
    <x:row r="8" ht="68" customHeight="1"/>
    <x:row r="9" ht="68" customHeight="1"/>
    <x:row r="10" ht="68" customHeight="1"/>
    <x:row r="11" ht="68" customHeight="1"/>
    <x:row r="12" ht="68" customHeight="1"/>
    <x:row r="13" ht="68" customHeight="1"/>
    <x:row r="14" ht="68" customHeight="1"/>
    <x:row r="15" ht="68" customHeight="1"/>
    <x:row r="16" ht="68" customHeight="1"/>
    <x:row r="17" ht="68" customHeight="1"/>
    <x:row r="18" ht="68" customHeight="1"/>
    <x:row r="19" ht="68" customHeight="1"/>
    <x:row r="20" ht="68" customHeight="1"/>
    <x:row r="21" ht="68" customHeight="1"/>
    <x:row r="22" ht="68" customHeight="1"/>
    <x:row r="23" ht="68" customHeight="1"/>
    <x:row r="24" ht="68" customHeight="1"/>
    <x:row r="25" ht="68" customHeight="1"/>
    <x:row r="26" ht="68" customHeight="1"/>
    <x:row r="27" ht="68" customHeight="1"/>
    <x:row r="28" ht="68" customHeight="1"/>
    <x:row r="29" ht="68" customHeight="1"/>
    <x:row r="30" ht="68" customHeight="1"/>
    <x:row r="31" ht="68" customHeight="1"/>
    <x:row r="32" ht="68" customHeight="1"/>
    <x:row r="33" ht="68" customHeight="1"/>
    <x:row r="34" ht="68" customHeight="1"/>
    <x:row r="35" ht="68" customHeight="1"/>
    <x:row r="36" ht="68" customHeight="1"/>
    <x:row r="37" ht="68" customHeight="1"/>
    <x:row r="38" ht="68" customHeight="1"/>
    <x:row r="39" ht="68" customHeight="1"/>
    <x:row r="40" ht="68" customHeight="1"/>
    <x:row r="41" ht="68" customHeight="1"/>
    <x:row r="42" ht="68" customHeight="1"/>
    <x:row r="43" ht="68" customHeight="1"/>
    <x:row r="44" ht="68" customHeight="1"/>
    <x:row r="45" ht="68" customHeight="1"/>
    <x:row r="46" ht="68" customHeight="1"/>
    <x:row r="47" ht="68" customHeight="1"/>
    <x:row r="48" ht="68" customHeight="1"/>
    <x:row r="49" ht="68" customHeight="1"/>
    <x:row r="50" ht="68" customHeight="1"/>
    <x:row r="51" ht="68" customHeight="1"/>
    <x:row r="52" ht="68" customHeight="1"/>
    <x:row r="53" ht="68" customHeight="1"/>
    <x:row r="54" ht="68" customHeight="1"/>
    <x:row r="55" ht="68" customHeight="1"/>
    <x:row r="56" ht="68" customHeight="1"/>
    <x:row r="57" ht="68" customHeight="1"/>
    <x:row r="58" ht="68" customHeight="1"/>
    <x:row r="59" ht="68" customHeight="1"/>
    <x:row r="60" ht="68" customHeight="1"/>
    <x:row r="61" ht="68" customHeight="1"/>
    <x:row r="62" ht="68" customHeight="1"/>
    <x:row r="63" ht="68" customHeight="1"/>
    <x:row r="64" ht="68" customHeight="1"/>
    <x:row r="65" ht="68" customHeight="1"/>
    <x:row r="66" ht="68" customHeight="1"/>
    <x:row r="67" ht="68" customHeight="1"/>
    <x:row r="68" ht="68" customHeight="1"/>
    <x:row r="69" ht="68" customHeight="1"/>
    <x:row r="70" ht="68" customHeight="1"/>
    <x:row r="71" ht="68" customHeight="1"/>
    <x:row r="72" ht="68" customHeight="1"/>
    <x:row r="73" ht="68" customHeight="1"/>
    <x:row r="74" ht="68" customHeight="1"/>
    <x:row r="75" ht="68" customHeight="1"/>
    <x:row r="76" ht="68" customHeight="1"/>
    <x:row r="77" ht="68" customHeight="1"/>
    <x:row r="78" ht="68" customHeight="1"/>
    <x:row r="79" ht="68" customHeight="1"/>
    <x:row r="80" ht="68" customHeight="1"/>
    <x:row r="81" ht="68" customHeight="1"/>
    <x:row r="82" ht="68" customHeight="1"/>
    <x:row r="83" ht="68" customHeight="1"/>
    <x:row r="84" ht="68" customHeight="1"/>
    <x:row r="85" ht="68" customHeight="1"/>
    <x:row r="86" ht="68" customHeight="1"/>
    <x:row r="87" ht="68" customHeight="1"/>
    <x:row r="88" ht="68" customHeight="1"/>
    <x:row r="89" ht="68" customHeight="1"/>
    <x:row r="90" ht="68" customHeight="1"/>
    <x:row r="91" ht="68" customHeight="1"/>
    <x:row r="92" ht="68" customHeight="1"/>
    <x:row r="93" ht="68" customHeight="1"/>
    <x:row r="94" ht="68" customHeight="1"/>
    <x:row r="95" ht="68" customHeight="1"/>
    <x:row r="96" ht="68" customHeight="1"/>
    <x:row r="97" ht="68" customHeight="1"/>
    <x:row r="98" ht="68" customHeight="1"/>
    <x:row r="99" ht="68" customHeight="1"/>
    <x:row r="100" ht="68" customHeight="1"/>
    <x:row r="101" ht="68" customHeight="1"/>
    <x:row r="102" ht="68" customHeight="1"/>
    <x:row r="103" ht="68" customHeight="1"/>
    <x:row r="104" ht="68" customHeight="1"/>
    <x:row r="105" ht="68" customHeight="1"/>
    <x:row r="106" ht="68" customHeight="1"/>
    <x:row r="107" ht="68" customHeight="1"/>
    <x:row r="108" ht="68" customHeight="1"/>
    <x:row r="109" ht="68" customHeight="1"/>
    <x:row r="110" ht="68" customHeight="1"/>
    <x:row r="111" ht="68" customHeight="1"/>
    <x:row r="112" ht="68" customHeight="1"/>
    <x:row r="113" ht="68" customHeight="1"/>
    <x:row r="114" ht="68" customHeight="1"/>
    <x:row r="115" ht="68" customHeight="1"/>
    <x:row r="116" ht="68" customHeight="1"/>
    <x:row r="117" ht="68" customHeight="1"/>
    <x:row r="118" ht="68" customHeight="1"/>
    <x:row r="119" ht="68" customHeight="1"/>
    <x:row r="120" ht="68" customHeight="1"/>
    <x:row r="121" ht="68" customHeight="1"/>
    <x:row r="122" ht="68" customHeight="1"/>
    <x:row r="123" ht="68" customHeight="1"/>
    <x:row r="124" ht="68" customHeight="1"/>
    <x:row r="125" ht="68" customHeight="1"/>
    <x:row r="126" ht="68" customHeight="1"/>
    <x:row r="127" ht="68" customHeight="1"/>
    <x:row r="128" ht="68" customHeight="1"/>
    <x:row r="129" ht="68" customHeight="1"/>
    <x:row r="130" ht="68" customHeight="1"/>
    <x:row r="131" ht="68" customHeight="1"/>
    <x:row r="132" ht="68" customHeight="1"/>
    <x:row r="133" ht="68" customHeight="1"/>
    <x:row r="134" ht="68" customHeight="1"/>
    <x:row r="135" ht="68" customHeight="1"/>
    <x:row r="136" ht="68" customHeight="1"/>
    <x:row r="137" ht="68" customHeight="1"/>
    <x:row r="138" ht="68" customHeight="1"/>
    <x:row r="139" ht="68" customHeight="1"/>
    <x:row r="140" ht="68" customHeight="1"/>
    <x:row r="141" ht="68" customHeight="1"/>
    <x:row r="142" ht="68" customHeight="1"/>
    <x:row r="143" ht="68" customHeight="1"/>
    <x:row r="144" ht="68" customHeight="1"/>
    <x:row r="145" ht="68" customHeight="1"/>
    <x:row r="146" ht="68" customHeight="1"/>
    <x:row r="147" ht="68" customHeight="1"/>
    <x:row r="148" ht="68" customHeight="1"/>
    <x:row r="149" ht="68" customHeight="1"/>
    <x:row r="150" ht="68" customHeight="1"/>
    <x:row r="151" ht="68" customHeight="1"/>
    <x:row r="152" ht="68" customHeight="1"/>
    <x:row r="153" ht="68" customHeight="1"/>
    <x:row r="154" ht="68" customHeight="1"/>
    <x:row r="155" ht="68" customHeight="1"/>
    <x:row r="156" ht="68" customHeight="1"/>
    <x:row r="157" ht="68" customHeight="1"/>
    <x:row r="158" ht="68" customHeight="1"/>
    <x:row r="159" ht="68" customHeight="1"/>
    <x:row r="160" ht="68" customHeight="1"/>
    <x:row r="161" ht="68" customHeight="1"/>
    <x:row r="162" ht="68" customHeight="1"/>
    <x:row r="163" ht="68" customHeight="1"/>
    <x:row r="164" ht="68" customHeight="1"/>
    <x:row r="165" ht="68" customHeight="1"/>
    <x:row r="166" ht="68" customHeight="1"/>
    <x:row r="167" ht="68" customHeight="1"/>
    <x:row r="168" ht="68" customHeight="1"/>
    <x:row r="169" ht="68" customHeight="1"/>
    <x:row r="170" ht="68" customHeight="1"/>
    <x:row r="171" ht="68" customHeight="1"/>
    <x:row r="172" ht="68" customHeight="1"/>
    <x:row r="173" ht="68" customHeight="1"/>
    <x:row r="174" ht="68" customHeight="1"/>
    <x:row r="175" ht="68" customHeight="1"/>
    <x:row r="176" ht="68" customHeight="1"/>
    <x:row r="177" ht="68" customHeight="1"/>
    <x:row r="178" ht="68" customHeight="1"/>
    <x:row r="179" ht="68" customHeight="1"/>
    <x:row r="180" ht="68" customHeight="1"/>
    <x:row r="181" ht="68" customHeight="1"/>
    <x:row r="182" ht="68" customHeight="1"/>
    <x:row r="183" ht="68" customHeight="1"/>
    <x:row r="184" ht="68" customHeight="1"/>
    <x:row r="185" ht="68" customHeight="1"/>
    <x:row r="186" ht="68" customHeight="1"/>
    <x:row r="187" ht="68" customHeight="1"/>
    <x:row r="188" ht="68" customHeight="1"/>
    <x:row r="189" ht="68" customHeight="1"/>
    <x:row r="190" ht="68" customHeight="1"/>
    <x:row r="191" ht="68" customHeight="1"/>
    <x:row r="192" ht="68" customHeight="1"/>
    <x:row r="193" ht="68" customHeight="1"/>
    <x:row r="194" ht="68" customHeight="1"/>
    <x:row r="195" ht="68" customHeight="1"/>
    <x:row r="196" ht="68" customHeight="1"/>
    <x:row r="197" ht="68" customHeight="1"/>
    <x:row r="198" ht="68" customHeight="1"/>
    <x:row r="199" ht="68" customHeight="1"/>
    <x:row r="200" ht="68" customHeight="1"/>
    <x:row r="201" ht="68" customHeight="1"/>
    <x:row r="202" ht="68" customHeight="1"/>
    <x:row r="203" ht="68" customHeight="1"/>
    <x:row r="204" ht="68" customHeight="1"/>
    <x:row r="205" ht="68" customHeight="1"/>
    <x:row r="206" ht="68" customHeight="1"/>
    <x:row r="207" ht="68" customHeight="1"/>
    <x:row r="208" ht="68" customHeight="1"/>
    <x:row r="209" ht="68" customHeight="1"/>
    <x:row r="210" ht="68" customHeight="1"/>
    <x:row r="211" ht="68" customHeight="1"/>
    <x:row r="212" ht="68" customHeight="1"/>
    <x:row r="213" ht="68" customHeight="1"/>
    <x:row r="214" ht="68" customHeight="1"/>
    <x:row r="215" ht="68" customHeight="1"/>
    <x:row r="216" ht="68" customHeight="1"/>
    <x:row r="217" ht="68" customHeight="1"/>
    <x:row r="218" ht="68" customHeight="1"/>
    <x:row r="219" ht="68" customHeight="1"/>
    <x:row r="220" ht="68" customHeight="1"/>
    <x:row r="221" ht="68" customHeight="1"/>
    <x:row r="222" ht="68" customHeight="1"/>
    <x:row r="223" ht="68" customHeight="1"/>
    <x:row r="224" ht="68" customHeight="1"/>
    <x:row r="225" ht="68" customHeight="1"/>
    <x:row r="226" ht="68" customHeight="1"/>
    <x:row r="227" ht="68" customHeight="1"/>
    <x:row r="228" ht="68" customHeight="1"/>
    <x:row r="229" ht="68" customHeight="1"/>
    <x:row r="230" ht="68" customHeight="1"/>
    <x:row r="231" ht="68" customHeight="1"/>
    <x:row r="232" ht="68" customHeight="1"/>
    <x:row r="233" ht="68" customHeight="1"/>
    <x:row r="234" ht="68" customHeight="1"/>
    <x:row r="235" ht="68" customHeight="1"/>
    <x:row r="236" ht="68" customHeight="1"/>
    <x:row r="237" ht="68" customHeight="1"/>
    <x:row r="238" ht="68" customHeight="1"/>
    <x:row r="239" ht="68" customHeight="1"/>
    <x:row r="240" ht="68" customHeight="1"/>
    <x:row r="241" ht="68" customHeight="1"/>
    <x:row r="242" ht="68" customHeight="1"/>
    <x:row r="243" ht="68" customHeight="1"/>
    <x:row r="244" ht="68" customHeight="1"/>
    <x:row r="245" ht="68" customHeight="1"/>
    <x:row r="246" ht="68" customHeight="1"/>
    <x:row r="247" ht="68" customHeight="1"/>
    <x:row r="248" ht="68" customHeight="1"/>
    <x:row r="249" ht="68" customHeight="1"/>
    <x:row r="250" ht="68" customHeight="1"/>
    <x:row r="251" ht="68" customHeight="1"/>
    <x:row r="252" ht="68" customHeight="1"/>
    <x:row r="253" ht="68" customHeight="1"/>
    <x:row r="254" ht="68" customHeight="1"/>
    <x:row r="255" ht="68" customHeight="1"/>
    <x:row r="256" ht="68" customHeight="1"/>
    <x:row r="257" ht="68" customHeight="1"/>
    <x:row r="258" ht="68" customHeight="1"/>
    <x:row r="259" ht="68" customHeight="1"/>
    <x:row r="260" ht="68" customHeight="1"/>
    <x:row r="261" ht="68" customHeight="1"/>
    <x:row r="262" ht="68" customHeight="1"/>
    <x:row r="263" ht="68" customHeight="1"/>
    <x:row r="264" ht="68" customHeight="1"/>
    <x:row r="265" ht="68" customHeight="1"/>
    <x:row r="266" ht="68" customHeight="1"/>
    <x:row r="267" ht="68" customHeight="1"/>
    <x:row r="268" ht="68" customHeight="1"/>
    <x:row r="269" ht="68" customHeight="1"/>
    <x:row r="270" ht="68" customHeight="1"/>
    <x:row r="271" ht="68" customHeight="1"/>
    <x:row r="272" ht="68" customHeight="1"/>
    <x:row r="273" ht="68" customHeight="1"/>
    <x:row r="274" ht="68" customHeight="1"/>
    <x:row r="275" ht="68" customHeight="1"/>
    <x:row r="276" ht="68" customHeight="1"/>
    <x:row r="277" ht="68" customHeight="1"/>
    <x:row r="278" ht="68" customHeight="1"/>
    <x:row r="279" ht="68" customHeight="1"/>
    <x:row r="280" ht="68" customHeight="1"/>
    <x:row r="281" ht="68" customHeight="1"/>
    <x:row r="282" ht="68" customHeight="1"/>
    <x:row r="283" ht="68" customHeight="1"/>
    <x:row r="284" ht="68" customHeight="1"/>
    <x:row r="285" ht="68" customHeight="1"/>
    <x:row r="286" ht="68" customHeight="1"/>
    <x:row r="287" ht="68" customHeight="1"/>
    <x:row r="288" ht="68" customHeight="1"/>
    <x:row r="289" ht="68" customHeight="1"/>
    <x:row r="290" ht="68" customHeight="1"/>
    <x:row r="291" ht="68" customHeight="1"/>
    <x:row r="292" ht="68" customHeight="1"/>
    <x:row r="293" ht="68" customHeight="1"/>
    <x:row r="294" ht="68" customHeight="1"/>
    <x:row r="295" ht="68" customHeight="1"/>
    <x:row r="296" ht="68" customHeight="1"/>
    <x:row r="297" ht="68" customHeight="1"/>
    <x:row r="298" ht="68" customHeight="1"/>
    <x:row r="299" ht="68" customHeight="1"/>
    <x:row r="300" ht="68" customHeight="1"/>
    <x:row r="301" ht="68" customHeight="1"/>
    <x:row r="302" ht="68" customHeight="1"/>
    <x:row r="303" ht="68" customHeight="1"/>
    <x:row r="304" ht="68" customHeight="1"/>
    <x:row r="305" ht="68" customHeight="1"/>
    <x:row r="306" ht="68" customHeight="1"/>
    <x:row r="307" ht="68" customHeight="1"/>
    <x:row r="308" ht="68" customHeight="1"/>
    <x:row r="309" ht="68" customHeight="1"/>
    <x:row r="310" ht="68" customHeight="1"/>
    <x:row r="311" ht="68" customHeight="1"/>
    <x:row r="312" ht="68" customHeight="1"/>
    <x:row r="313" ht="68" customHeight="1"/>
    <x:row r="314" ht="68" customHeight="1"/>
    <x:row r="315" ht="68" customHeight="1"/>
    <x:row r="316" ht="68" customHeight="1"/>
    <x:row r="317" ht="68" customHeight="1"/>
    <x:row r="318" ht="68" customHeight="1"/>
    <x:row r="319" ht="68" customHeight="1"/>
    <x:row r="320" ht="68" customHeight="1"/>
    <x:row r="321" ht="68" customHeight="1"/>
    <x:row r="322" ht="68" customHeight="1"/>
    <x:row r="323" ht="68" customHeight="1"/>
    <x:row r="324" ht="68" customHeight="1"/>
    <x:row r="325" ht="68" customHeight="1"/>
    <x:row r="326" ht="68" customHeight="1"/>
    <x:row r="327" ht="68" customHeight="1"/>
    <x:row r="328" ht="68" customHeight="1"/>
    <x:row r="329" ht="68" customHeight="1"/>
    <x:row r="330" ht="68" customHeight="1"/>
    <x:row r="331" ht="68" customHeight="1"/>
    <x:row r="332" ht="68" customHeight="1"/>
    <x:row r="333" ht="68" customHeight="1"/>
    <x:row r="334" ht="68" customHeight="1"/>
    <x:row r="335" ht="68" customHeight="1"/>
    <x:row r="336" ht="68" customHeight="1"/>
    <x:row r="337" ht="68" customHeight="1"/>
    <x:row r="338" ht="68" customHeight="1"/>
    <x:row r="339" ht="68" customHeight="1"/>
    <x:row r="340" ht="68" customHeight="1"/>
    <x:row r="341" ht="68" customHeight="1"/>
    <x:row r="342" ht="68" customHeight="1"/>
    <x:row r="343" ht="68" customHeight="1"/>
    <x:row r="344" ht="68" customHeight="1"/>
    <x:row r="345" ht="68" customHeight="1"/>
    <x:row r="346" ht="68" customHeight="1"/>
    <x:row r="347" ht="68" customHeight="1"/>
    <x:row r="348" ht="68" customHeight="1"/>
    <x:row r="349" ht="68" customHeight="1"/>
    <x:row r="350" ht="68" customHeight="1"/>
    <x:row r="351" ht="68" customHeight="1"/>
    <x:row r="352" ht="68" customHeight="1"/>
    <x:row r="353" ht="68" customHeight="1"/>
    <x:row r="354" ht="68" customHeight="1"/>
    <x:row r="355" ht="68" customHeight="1"/>
    <x:row r="356" ht="68" customHeight="1"/>
    <x:row r="357" ht="68" customHeight="1"/>
    <x:row r="358" ht="68" customHeight="1"/>
    <x:row r="359" ht="68" customHeight="1"/>
    <x:row r="360" ht="68" customHeight="1"/>
    <x:row r="361" ht="68" customHeight="1"/>
    <x:row r="362" ht="68" customHeight="1"/>
    <x:row r="363" ht="68" customHeight="1"/>
    <x:row r="364" ht="68" customHeight="1"/>
    <x:row r="365" ht="68" customHeight="1"/>
    <x:row r="366" ht="68" customHeight="1"/>
    <x:row r="367" ht="68" customHeight="1"/>
    <x:row r="368" ht="68" customHeight="1"/>
    <x:row r="369" ht="68" customHeight="1"/>
    <x:row r="370" ht="68" customHeight="1"/>
    <x:row r="371" ht="68" customHeight="1"/>
    <x:row r="372" ht="68" customHeight="1"/>
    <x:row r="373" ht="68" customHeight="1"/>
    <x:row r="374" ht="68" customHeight="1"/>
    <x:row r="375" ht="68" customHeight="1"/>
    <x:row r="376" ht="68" customHeight="1"/>
    <x:row r="377" ht="68" customHeight="1"/>
    <x:row r="378" ht="68" customHeight="1"/>
    <x:row r="379" ht="68" customHeight="1"/>
    <x:row r="380" ht="68" customHeight="1"/>
    <x:row r="381" ht="68" customHeight="1"/>
    <x:row r="382" ht="68" customHeight="1"/>
    <x:row r="383" ht="68" customHeight="1"/>
    <x:row r="384" ht="68" customHeight="1"/>
    <x:row r="385" ht="68" customHeight="1"/>
    <x:row r="386" ht="68" customHeight="1"/>
    <x:row r="387" ht="68" customHeight="1"/>
    <x:row r="388" ht="68" customHeight="1"/>
    <x:row r="389" ht="68" customHeight="1"/>
    <x:row r="390" ht="68" customHeight="1"/>
    <x:row r="391" ht="68" customHeight="1"/>
    <x:row r="392" ht="68" customHeight="1"/>
    <x:row r="393" ht="68" customHeight="1"/>
    <x:row r="394" ht="68" customHeight="1"/>
    <x:row r="395" ht="68" customHeight="1"/>
    <x:row r="396" ht="68" customHeight="1"/>
    <x:row r="397" ht="68" customHeight="1"/>
    <x:row r="398" ht="68" customHeight="1"/>
    <x:row r="399" ht="68" customHeight="1"/>
    <x:row r="400" ht="68" customHeight="1"/>
    <x:row r="401" ht="68" customHeight="1"/>
    <x:row r="402" ht="68" customHeight="1"/>
    <x:row r="403" ht="68" customHeight="1"/>
    <x:row r="404" ht="68" customHeight="1"/>
    <x:row r="405" ht="68" customHeight="1"/>
    <x:row r="406" ht="68" customHeight="1"/>
    <x:row r="407" ht="68" customHeight="1"/>
    <x:row r="408" ht="68" customHeight="1"/>
    <x:row r="409" ht="68" customHeight="1"/>
    <x:row r="410" ht="68" customHeight="1"/>
    <x:row r="411" ht="68" customHeight="1"/>
    <x:row r="412" ht="68" customHeight="1"/>
    <x:row r="413" ht="68" customHeight="1"/>
    <x:row r="414" ht="68" customHeight="1"/>
    <x:row r="415" ht="68" customHeight="1"/>
    <x:row r="416" ht="68" customHeight="1"/>
    <x:row r="417" ht="68" customHeight="1"/>
    <x:row r="418" ht="68" customHeight="1"/>
    <x:row r="419" ht="68" customHeight="1"/>
    <x:row r="420" ht="68" customHeight="1"/>
    <x:row r="421" ht="68" customHeight="1"/>
    <x:row r="422" ht="68" customHeight="1"/>
    <x:row r="423" ht="68" customHeight="1"/>
    <x:row r="424" ht="68" customHeight="1"/>
    <x:row r="425" ht="68" customHeight="1"/>
    <x:row r="426" ht="68" customHeight="1"/>
    <x:row r="427" ht="68" customHeight="1"/>
    <x:row r="428" ht="68" customHeight="1"/>
    <x:row r="429" ht="68" customHeight="1"/>
    <x:row r="430" ht="68" customHeight="1"/>
    <x:row r="431" ht="68" customHeight="1"/>
    <x:row r="432" ht="68" customHeight="1"/>
    <x:row r="433" ht="68" customHeight="1"/>
    <x:row r="434" ht="68" customHeight="1"/>
    <x:row r="435" ht="68" customHeight="1"/>
    <x:row r="436" ht="68" customHeight="1"/>
    <x:row r="437" ht="68" customHeight="1"/>
    <x:row r="438" ht="68" customHeight="1"/>
    <x:row r="439" ht="68" customHeight="1"/>
    <x:row r="440" ht="68" customHeight="1"/>
    <x:row r="441" ht="68" customHeight="1"/>
    <x:row r="442" ht="68" customHeight="1"/>
    <x:row r="443" ht="68" customHeight="1"/>
    <x:row r="444" ht="68" customHeight="1"/>
    <x:row r="445" ht="68" customHeight="1"/>
    <x:row r="446" ht="68" customHeight="1"/>
    <x:row r="447" ht="68" customHeight="1"/>
    <x:row r="448" ht="68" customHeight="1"/>
    <x:row r="449" ht="68" customHeight="1"/>
    <x:row r="450" ht="68" customHeight="1"/>
    <x:row r="451" ht="68" customHeight="1"/>
    <x:row r="452" ht="68" customHeight="1"/>
    <x:row r="453" ht="68" customHeight="1"/>
    <x:row r="454" ht="68" customHeight="1"/>
    <x:row r="455" ht="68" customHeight="1"/>
    <x:row r="456" ht="68" customHeight="1"/>
    <x:row r="457" ht="68" customHeight="1"/>
    <x:row r="458" ht="68" customHeight="1"/>
    <x:row r="459" ht="68" customHeight="1"/>
    <x:row r="460" ht="68" customHeight="1"/>
    <x:row r="461" ht="68" customHeight="1"/>
    <x:row r="462" ht="68" customHeight="1"/>
    <x:row r="463" ht="68" customHeight="1"/>
    <x:row r="464" ht="68" customHeight="1"/>
    <x:row r="465" ht="68" customHeight="1"/>
    <x:row r="466" ht="68" customHeight="1"/>
    <x:row r="467" ht="68" customHeight="1"/>
    <x:row r="468" ht="68" customHeight="1"/>
    <x:row r="469" ht="68" customHeight="1"/>
    <x:row r="470" ht="68" customHeight="1"/>
    <x:row r="471" ht="68" customHeight="1"/>
    <x:row r="472" ht="68" customHeight="1"/>
    <x:row r="473" ht="68" customHeight="1"/>
    <x:row r="474" ht="68" customHeight="1"/>
    <x:row r="475" ht="68" customHeight="1"/>
    <x:row r="476" ht="68" customHeight="1"/>
    <x:row r="477" ht="68" customHeight="1"/>
    <x:row r="478" ht="68" customHeight="1"/>
    <x:row r="479" ht="68" customHeight="1"/>
    <x:row r="480" ht="68" customHeight="1"/>
    <x:row r="481" ht="68" customHeight="1"/>
    <x:row r="482" ht="68" customHeight="1"/>
    <x:row r="483" ht="68" customHeight="1"/>
    <x:row r="484" ht="68" customHeight="1"/>
    <x:row r="485" ht="68" customHeight="1"/>
    <x:row r="486" ht="68" customHeight="1"/>
    <x:row r="487" ht="68" customHeight="1"/>
    <x:row r="488" ht="68" customHeight="1"/>
    <x:row r="489" ht="68" customHeight="1"/>
    <x:row r="490" ht="68" customHeight="1"/>
    <x:row r="491" ht="68" customHeight="1"/>
    <x:row r="492" ht="68" customHeight="1"/>
    <x:row r="493" ht="68" customHeight="1"/>
    <x:row r="494" ht="68" customHeight="1"/>
    <x:row r="495" ht="68" customHeight="1"/>
    <x:row r="496" ht="68" customHeight="1"/>
    <x:row r="497" ht="68" customHeight="1"/>
    <x:row r="498" ht="68" customHeight="1"/>
    <x:row r="499" ht="68" customHeight="1"/>
    <x:row r="500" ht="68" customHeight="1"/>
    <x:row r="501" ht="68" customHeight="1"/>
    <x:row r="502" ht="68" customHeight="1"/>
    <x:row r="503" ht="68" customHeight="1"/>
    <x:row r="504" ht="68" customHeight="1"/>
    <x:row r="505" ht="68" customHeight="1"/>
    <x:row r="506" ht="68" customHeight="1"/>
    <x:row r="507" ht="68" customHeight="1"/>
    <x:row r="508" ht="68" customHeight="1"/>
    <x:row r="509" ht="68" customHeight="1"/>
    <x:row r="510" ht="68" customHeight="1"/>
    <x:row r="511" ht="68" customHeight="1"/>
    <x:row r="512" ht="68" customHeight="1"/>
    <x:row r="513" ht="68" customHeight="1"/>
    <x:row r="514" ht="68" customHeight="1"/>
    <x:row r="515" ht="68" customHeight="1"/>
    <x:row r="516" ht="68" customHeight="1"/>
    <x:row r="517" ht="68" customHeight="1"/>
    <x:row r="518" ht="68" customHeight="1"/>
    <x:row r="519" ht="68" customHeight="1"/>
    <x:row r="520" ht="68" customHeight="1"/>
    <x:row r="521" ht="68" customHeight="1"/>
    <x:row r="522" ht="68" customHeight="1"/>
    <x:row r="523" ht="68" customHeight="1"/>
    <x:row r="524" ht="68" customHeight="1"/>
    <x:row r="525" ht="68" customHeight="1"/>
    <x:row r="526" ht="68" customHeight="1"/>
    <x:row r="527" ht="68" customHeight="1"/>
    <x:row r="528" ht="68" customHeight="1"/>
    <x:row r="529" ht="68" customHeight="1"/>
    <x:row r="530" ht="68" customHeight="1"/>
    <x:row r="531" ht="68" customHeight="1"/>
    <x:row r="532" ht="68" customHeight="1"/>
    <x:row r="533" ht="68" customHeight="1"/>
    <x:row r="534" ht="68" customHeight="1"/>
    <x:row r="535" ht="68" customHeight="1"/>
    <x:row r="536" ht="68" customHeight="1"/>
    <x:row r="537" ht="68" customHeight="1"/>
    <x:row r="538" ht="68" customHeight="1"/>
    <x:row r="539" ht="68" customHeight="1"/>
    <x:row r="540" ht="68" customHeight="1"/>
    <x:row r="541" ht="68" customHeight="1"/>
    <x:row r="542" ht="68" customHeight="1"/>
    <x:row r="543" ht="68" customHeight="1"/>
    <x:row r="544" ht="68" customHeight="1"/>
    <x:row r="545" ht="68" customHeight="1"/>
    <x:row r="546" ht="68" customHeight="1"/>
    <x:row r="547" ht="68" customHeight="1"/>
    <x:row r="548" ht="68" customHeight="1"/>
    <x:row r="549" ht="68" customHeight="1"/>
    <x:row r="550" ht="68" customHeight="1"/>
    <x:row r="551" ht="68" customHeight="1"/>
    <x:row r="552" ht="68" customHeight="1"/>
    <x:row r="553" ht="68" customHeight="1"/>
    <x:row r="554" ht="68" customHeight="1"/>
    <x:row r="555" ht="68" customHeight="1"/>
    <x:row r="556" ht="68" customHeight="1"/>
    <x:row r="557" ht="68" customHeight="1"/>
    <x:row r="558" ht="68" customHeight="1"/>
    <x:row r="559" ht="68" customHeight="1"/>
    <x:row r="560" ht="68" customHeight="1"/>
    <x:row r="561" ht="68" customHeight="1"/>
    <x:row r="562" ht="68" customHeight="1"/>
    <x:row r="563" ht="68" customHeight="1"/>
    <x:row r="564" ht="68" customHeight="1"/>
    <x:row r="565" ht="68" customHeight="1"/>
    <x:row r="566" ht="68" customHeight="1"/>
    <x:row r="567" ht="68" customHeight="1"/>
    <x:row r="568" ht="68" customHeight="1"/>
    <x:row r="569" ht="68" customHeight="1"/>
    <x:row r="570" ht="68" customHeight="1"/>
    <x:row r="571" ht="68" customHeight="1"/>
    <x:row r="572" ht="68" customHeight="1"/>
    <x:row r="573" ht="68" customHeight="1"/>
    <x:row r="574" ht="68" customHeight="1"/>
    <x:row r="575" ht="68" customHeight="1"/>
    <x:row r="576" ht="68" customHeight="1"/>
    <x:row r="577" ht="68" customHeight="1"/>
    <x:row r="578" ht="68" customHeight="1"/>
    <x:row r="579" ht="68" customHeight="1"/>
    <x:row r="580" ht="68" customHeight="1"/>
    <x:row r="581" ht="68" customHeight="1"/>
    <x:row r="582" ht="68" customHeight="1"/>
    <x:row r="583" ht="68" customHeight="1"/>
    <x:row r="584" ht="68" customHeight="1"/>
    <x:row r="585" ht="68" customHeight="1"/>
    <x:row r="586" ht="68" customHeight="1"/>
    <x:row r="587" ht="68" customHeight="1"/>
    <x:row r="588" ht="68" customHeight="1"/>
    <x:row r="589" ht="68" customHeight="1"/>
    <x:row r="590" ht="68" customHeight="1"/>
    <x:row r="591" ht="68" customHeight="1"/>
    <x:row r="592" ht="68" customHeight="1"/>
    <x:row r="593" ht="68" customHeight="1"/>
    <x:row r="594" ht="68" customHeight="1"/>
    <x:row r="595" ht="68" customHeight="1"/>
    <x:row r="596" ht="68" customHeight="1"/>
    <x:row r="597" ht="68" customHeight="1"/>
    <x:row r="598" ht="68" customHeight="1"/>
    <x:row r="599" ht="68" customHeight="1"/>
    <x:row r="600" ht="68" customHeight="1"/>
    <x:row r="601" ht="68" customHeight="1"/>
    <x:row r="602" ht="68" customHeight="1"/>
    <x:row r="603" ht="68" customHeight="1"/>
    <x:row r="604" ht="68" customHeight="1"/>
    <x:row r="605" ht="68" customHeight="1"/>
    <x:row r="606" ht="68" customHeight="1"/>
    <x:row r="607" ht="68" customHeight="1"/>
    <x:row r="608" ht="68" customHeight="1"/>
    <x:row r="609" ht="68" customHeight="1"/>
    <x:row r="610" ht="68" customHeight="1"/>
    <x:row r="611" ht="68" customHeight="1"/>
    <x:row r="612" ht="68" customHeight="1"/>
    <x:row r="613" ht="68" customHeight="1"/>
    <x:row r="614" ht="68" customHeight="1"/>
    <x:row r="615" ht="68" customHeight="1"/>
    <x:row r="616" ht="68" customHeight="1"/>
    <x:row r="617" ht="68" customHeight="1"/>
    <x:row r="618" ht="68" customHeight="1"/>
    <x:row r="619" ht="68" customHeight="1"/>
    <x:row r="620" ht="68" customHeight="1"/>
    <x:row r="621" ht="68" customHeight="1"/>
    <x:row r="622" ht="68" customHeight="1"/>
    <x:row r="623" ht="68" customHeight="1"/>
    <x:row r="624" ht="68" customHeight="1"/>
    <x:row r="625" ht="68" customHeight="1"/>
    <x:row r="626" ht="68" customHeight="1"/>
    <x:row r="627" ht="68" customHeight="1"/>
    <x:row r="628" ht="68" customHeight="1"/>
    <x:row r="629" ht="68" customHeight="1"/>
    <x:row r="630" ht="68" customHeight="1"/>
    <x:row r="631" ht="68" customHeight="1"/>
    <x:row r="632" ht="68" customHeight="1"/>
    <x:row r="633" ht="68" customHeight="1"/>
    <x:row r="634" ht="68" customHeight="1"/>
    <x:row r="635" ht="68" customHeight="1"/>
    <x:row r="636" ht="68" customHeight="1"/>
    <x:row r="637" ht="68" customHeight="1"/>
    <x:row r="638" ht="68" customHeight="1"/>
    <x:row r="639" ht="68" customHeight="1"/>
    <x:row r="640" ht="68" customHeight="1"/>
    <x:row r="641" ht="68" customHeight="1"/>
    <x:row r="642" ht="68" customHeight="1"/>
    <x:row r="643" ht="68" customHeight="1"/>
    <x:row r="644" ht="68" customHeight="1"/>
    <x:row r="645" ht="68" customHeight="1"/>
    <x:row r="646" ht="68" customHeight="1"/>
    <x:row r="647" ht="68" customHeight="1"/>
    <x:row r="648" ht="68" customHeight="1"/>
    <x:row r="649" ht="68" customHeight="1"/>
    <x:row r="650" ht="68" customHeight="1"/>
    <x:row r="651" ht="68" customHeight="1"/>
    <x:row r="652" ht="68" customHeight="1"/>
    <x:row r="653" ht="68" customHeight="1"/>
    <x:row r="654" ht="68" customHeight="1"/>
    <x:row r="655" ht="68" customHeight="1"/>
    <x:row r="656" ht="68" customHeight="1"/>
    <x:row r="657" ht="68" customHeight="1"/>
    <x:row r="658" ht="68" customHeight="1"/>
    <x:row r="659" ht="68" customHeight="1"/>
    <x:row r="660" ht="68" customHeight="1"/>
    <x:row r="661" ht="68" customHeight="1"/>
    <x:row r="662" ht="68" customHeight="1"/>
    <x:row r="663" ht="68" customHeight="1"/>
    <x:row r="664" ht="68" customHeight="1"/>
    <x:row r="665" ht="68" customHeight="1"/>
    <x:row r="666" ht="68" customHeight="1"/>
    <x:row r="667" ht="68" customHeight="1"/>
    <x:row r="668" ht="68" customHeight="1"/>
    <x:row r="669" ht="68" customHeight="1"/>
    <x:row r="670" ht="68" customHeight="1"/>
    <x:row r="671" ht="68" customHeight="1"/>
    <x:row r="672" ht="68" customHeight="1"/>
    <x:row r="673" ht="68" customHeight="1"/>
    <x:row r="674" ht="68" customHeight="1"/>
    <x:row r="675" ht="68" customHeight="1"/>
    <x:row r="676" ht="68" customHeight="1"/>
    <x:row r="677" ht="68" customHeight="1"/>
    <x:row r="678" ht="68" customHeight="1"/>
    <x:row r="679" ht="68" customHeight="1"/>
    <x:row r="680" ht="68" customHeight="1"/>
    <x:row r="681" ht="68" customHeight="1"/>
    <x:row r="682" ht="68" customHeight="1"/>
    <x:row r="683" ht="68" customHeight="1"/>
    <x:row r="684" ht="68" customHeight="1"/>
    <x:row r="685" ht="68" customHeight="1"/>
    <x:row r="686" ht="68" customHeight="1"/>
    <x:row r="687" ht="68" customHeight="1"/>
    <x:row r="688" ht="68" customHeight="1"/>
    <x:row r="689" ht="68" customHeight="1"/>
    <x:row r="690" ht="68" customHeight="1"/>
    <x:row r="691" ht="68" customHeight="1"/>
    <x:row r="692" ht="68" customHeight="1"/>
    <x:row r="693" ht="68" customHeight="1"/>
    <x:row r="694" ht="68" customHeight="1"/>
    <x:row r="695" ht="68" customHeight="1"/>
    <x:row r="696" ht="68" customHeight="1"/>
    <x:row r="697" ht="68" customHeight="1"/>
    <x:row r="698" ht="68" customHeight="1"/>
    <x:row r="699" ht="68" customHeight="1"/>
    <x:row r="700" ht="68" customHeight="1"/>
    <x:row r="701" ht="68" customHeight="1"/>
    <x:row r="702" ht="68" customHeight="1"/>
    <x:row r="703" ht="68" customHeight="1"/>
    <x:row r="704" ht="68" customHeight="1"/>
    <x:row r="705" ht="68" customHeight="1"/>
    <x:row r="706" ht="68" customHeight="1"/>
    <x:row r="707" ht="68" customHeight="1"/>
    <x:row r="708" ht="68" customHeight="1"/>
    <x:row r="709" ht="68" customHeight="1"/>
    <x:row r="710" ht="68" customHeight="1"/>
    <x:row r="711" ht="68" customHeight="1"/>
    <x:row r="712" ht="68" customHeight="1"/>
    <x:row r="713" ht="68" customHeight="1"/>
    <x:row r="714" ht="68" customHeight="1"/>
    <x:row r="715" ht="68" customHeight="1"/>
  </x:sheetData>
  <x:mergeCells>
    <x:mergeCell ref="A2:R2"/>
    <x:mergeCell ref="A1:R1"/>
  </x:mergeCells>
  <x:pageMargins left="0.7" right="0.7" top="0.75" bottom="0.75" header="0.3" footer="0.3"/>
  <x:tableParts count="1">
    <x:tablePart xmlns:r="http://schemas.openxmlformats.org/officeDocument/2006/relationships" r:id="R394ae260bdca4b2d"/>
  </x:tableParts>
</x:worksheet>
</file>

<file path=xl/worksheets/sheet5.xml><?xml version="1.0" encoding="utf-8"?>
<x:worksheet xmlns:x="http://schemas.openxmlformats.org/spreadsheetml/2006/main">
  <x:sheetFormatPr baseColWidth="8" defaultRowHeight="15"/>
  <x:cols>
    <x:col min="1" max="1" width="11" customWidth="1"/>
    <x:col min="2" max="2" width="14" customWidth="1"/>
    <x:col min="3" max="3" width="9" customWidth="1"/>
    <x:col min="4" max="4" width="10" customWidth="1"/>
    <x:col min="5" max="5" width="22" customWidth="1"/>
    <x:col min="6" max="6" width="21" customWidth="1"/>
    <x:col min="7" max="7" width="27" customWidth="1"/>
    <x:col min="8" max="8" width="27" customWidth="1"/>
    <x:col min="9" max="9" width="17" customWidth="1"/>
    <x:col min="10" max="10" width="17" customWidth="1"/>
    <x:col min="11" max="11" width="62" customWidth="1"/>
    <x:col min="12" max="12" width="66" customWidth="1"/>
    <x:col min="13" max="13" width="48" customWidth="1"/>
    <x:col min="14" max="14" width="60" customWidth="1"/>
    <x:col min="15" max="15" width="16" customWidth="1"/>
    <x:col min="16" max="16" width="12" customWidth="1"/>
    <x:col min="17" max="17" width="16" customWidth="1"/>
    <x:col min="18" max="18" width="14" customWidth="1"/>
    <x:col min="19" max="19" width="12" customWidth="1"/>
  </x:cols>
  <x:sheetData>
    <x:row r="1" ht="27" customHeight="1">
      <x:c r="A1" s="7" t="inlineStr">
        <x:is>
          <x:t xml:space="preserve">Combined Logic Changes</x:t>
        </x:is>
      </x:c>
      <x:c r="B1" s="1" t="n"/>
      <x:c r="C1" s="1" t="n"/>
      <x:c r="D1" s="1" t="n"/>
      <x:c r="E1" s="1" t="n"/>
      <x:c r="F1" s="1" t="n"/>
      <x:c r="G1" s="1" t="n"/>
      <x:c r="H1" s="1" t="n"/>
      <x:c r="I1" s="1" t="n"/>
      <x:c r="J1" s="1" t="n"/>
      <x:c r="K1" s="1" t="n"/>
      <x:c r="L1" s="1" t="n"/>
      <x:c r="M1" s="1" t="n"/>
      <x:c r="N1" s="1" t="n"/>
      <x:c r="O1" s="1" t="n"/>
      <x:c r="P1" s="1" t="n"/>
      <x:c r="Q1" s="1" t="n"/>
      <x:c r="R1" s="1" t="n"/>
      <x:c r="S1" s="1" t="n"/>
    </x:row>
    <x:row r="2" ht="34" customHeight="1">
      <x:c r="A2" s="15" t="inlineStr">
        <x:is>
          <x:t xml:space="preserve">Audit rows removed for public distribution.</x:t>
        </x:is>
      </x:c>
      <x:c r="B2" s="1" t="n"/>
      <x:c r="C2" s="1" t="n"/>
      <x:c r="D2" s="1" t="n"/>
      <x:c r="E2" s="1" t="n"/>
      <x:c r="F2" s="1" t="n"/>
      <x:c r="G2" s="1" t="n"/>
      <x:c r="H2" s="1" t="n"/>
      <x:c r="I2" s="1" t="n"/>
      <x:c r="J2" s="1" t="n"/>
      <x:c r="K2" s="1" t="n"/>
      <x:c r="L2" s="1" t="n"/>
      <x:c r="M2" s="1" t="n"/>
      <x:c r="N2" s="1" t="n"/>
      <x:c r="O2" s="1" t="n"/>
      <x:c r="P2" s="1" t="n"/>
      <x:c r="Q2" s="1" t="n"/>
      <x:c r="R2" s="1" t="n"/>
      <x:c r="S2" s="1" t="n"/>
    </x:row>
    <x:row r="3" ht="36" customHeight="1">
      <x:c r="A3" s="20" t="inlineStr">
        <x:is>
          <x:t xml:space="preserve">Logic ID</x:t>
        </x:is>
      </x:c>
      <x:c r="B3" s="20" t="inlineStr">
        <x:is>
          <x:t xml:space="preserve">Batch</x:t>
        </x:is>
      </x:c>
      <x:c r="C3" s="20" t="inlineStr">
        <x:is>
          <x:t xml:space="preserve">Study</x:t>
        </x:is>
      </x:c>
      <x:c r="D3" s="20" t="inlineStr">
        <x:is>
          <x:t xml:space="preserve">Domain</x:t>
        </x:is>
      </x:c>
      <x:c r="E3" s="20" t="inlineStr">
        <x:is>
          <x:t xml:space="preserve">Original Logic Pattern ID</x:t>
        </x:is>
      </x:c>
      <x:c r="F3" s="20" t="inlineStr">
        <x:is>
          <x:t xml:space="preserve">Program</x:t>
        </x:is>
      </x:c>
      <x:c r="G3" s="20" t="inlineStr">
        <x:is>
          <x:t xml:space="preserve">Before Relative Path</x:t>
        </x:is>
      </x:c>
      <x:c r="H3" s="20" t="inlineStr">
        <x:is>
          <x:t xml:space="preserve">After Relative Path</x:t>
        </x:is>
      </x:c>
      <x:c r="I3" s="20" t="inlineStr">
        <x:is>
          <x:t xml:space="preserve">Before Line Number</x:t>
        </x:is>
      </x:c>
      <x:c r="J3" s="20" t="inlineStr">
        <x:is>
          <x:t xml:space="preserve">After Line Number</x:t>
        </x:is>
      </x:c>
      <x:c r="K3" s="20" t="inlineStr">
        <x:is>
          <x:t xml:space="preserve">Before Text</x:t>
        </x:is>
      </x:c>
      <x:c r="L3" s="20" t="inlineStr">
        <x:is>
          <x:t xml:space="preserve">After Text</x:t>
        </x:is>
      </x:c>
      <x:c r="M3" s="20" t="inlineStr">
        <x:is>
          <x:t xml:space="preserve">Description</x:t>
        </x:is>
      </x:c>
      <x:c r="N3" s="20" t="inlineStr">
        <x:is>
          <x:t xml:space="preserve">Potential Result Impact</x:t>
        </x:is>
      </x:c>
      <x:c r="O3" s="20" t="inlineStr">
        <x:is>
          <x:t xml:space="preserve">Scope</x:t>
        </x:is>
      </x:c>
      <x:c r="P3" s="20" t="inlineStr">
        <x:is>
          <x:t xml:space="preserve">Axis</x:t>
        </x:is>
      </x:c>
      <x:c r="Q3" s="20" t="inlineStr">
        <x:is>
          <x:t xml:space="preserve">Automatability</x:t>
        </x:is>
      </x:c>
      <x:c r="R3" s="20" t="inlineStr">
        <x:is>
          <x:t xml:space="preserve">Risk If Wrong</x:t>
        </x:is>
      </x:c>
      <x:c r="S3" s="20" t="inlineStr">
        <x:is>
          <x:t xml:space="preserve">Confidence</x:t>
        </x:is>
      </x:c>
    </x:row>
    <x:row r="4" ht="92" customHeight="1">
      <x:c r="A4" s="28" t="inlineStr">
        <x:is>
          <x:t xml:space="preserve">Removed for public distribution</x:t>
        </x:is>
      </x:c>
      <x:c r="B4" s="28" t="n"/>
      <x:c r="C4" s="28" t="n"/>
      <x:c r="D4" s="28" t="n"/>
      <x:c r="E4" s="28" t="n"/>
      <x:c r="F4" s="28" t="n"/>
      <x:c r="G4" s="28" t="n"/>
      <x:c r="H4" s="28" t="n"/>
      <x:c r="I4" s="28" t="n"/>
      <x:c r="J4" s="28" t="n"/>
      <x:c r="K4" s="28" t="n"/>
      <x:c r="L4" s="28" t="n"/>
      <x:c r="M4" s="28" t="n"/>
      <x:c r="N4" s="28" t="n"/>
      <x:c r="O4" s="28" t="n"/>
      <x:c r="P4" s="28" t="n"/>
      <x:c r="Q4" s="28" t="n"/>
      <x:c r="R4" s="28" t="n"/>
      <x:c r="S4" s="28" t="n"/>
    </x:row>
    <x:row r="5" ht="92" customHeight="1"/>
    <x:row r="6" ht="92" customHeight="1"/>
    <x:row r="7" ht="92" customHeight="1"/>
    <x:row r="8" ht="92" customHeight="1"/>
    <x:row r="9" ht="92" customHeight="1"/>
    <x:row r="10" ht="92" customHeight="1"/>
    <x:row r="11" ht="92" customHeight="1"/>
    <x:row r="12" ht="92" customHeight="1"/>
    <x:row r="13" ht="92" customHeight="1"/>
    <x:row r="14" ht="92" customHeight="1"/>
    <x:row r="15" ht="92" customHeight="1"/>
    <x:row r="16" ht="92" customHeight="1"/>
    <x:row r="17" ht="92" customHeight="1"/>
    <x:row r="18" ht="92" customHeight="1"/>
    <x:row r="19" ht="92" customHeight="1"/>
    <x:row r="20" ht="92" customHeight="1"/>
    <x:row r="21" ht="92" customHeight="1"/>
    <x:row r="22" ht="92" customHeight="1"/>
    <x:row r="23" ht="92" customHeight="1"/>
    <x:row r="24" ht="92" customHeight="1"/>
    <x:row r="25" ht="92" customHeight="1"/>
    <x:row r="26" ht="92" customHeight="1"/>
    <x:row r="27" ht="92" customHeight="1"/>
    <x:row r="28" ht="92" customHeight="1"/>
    <x:row r="29" ht="92" customHeight="1"/>
    <x:row r="30" ht="92" customHeight="1"/>
    <x:row r="31" ht="92" customHeight="1"/>
    <x:row r="32" ht="92" customHeight="1"/>
    <x:row r="33" ht="92" customHeight="1"/>
    <x:row r="34" ht="92" customHeight="1"/>
    <x:row r="35" ht="92" customHeight="1"/>
    <x:row r="36" ht="92" customHeight="1"/>
    <x:row r="37" ht="92" customHeight="1"/>
    <x:row r="38" ht="92" customHeight="1"/>
    <x:row r="39" ht="92" customHeight="1"/>
    <x:row r="40" ht="92" customHeight="1"/>
    <x:row r="41" ht="92" customHeight="1"/>
    <x:row r="42" ht="92" customHeight="1"/>
    <x:row r="43" ht="92" customHeight="1"/>
    <x:row r="44" ht="92" customHeight="1"/>
    <x:row r="45" ht="92" customHeight="1"/>
    <x:row r="46" ht="92" customHeight="1"/>
    <x:row r="47" ht="92" customHeight="1"/>
    <x:row r="48" ht="92" customHeight="1"/>
    <x:row r="49" ht="92" customHeight="1"/>
    <x:row r="50" ht="92" customHeight="1"/>
    <x:row r="51" ht="92" customHeight="1"/>
    <x:row r="52" ht="92" customHeight="1"/>
    <x:row r="53" ht="92" customHeight="1"/>
    <x:row r="54" ht="92" customHeight="1"/>
    <x:row r="55" ht="92" customHeight="1"/>
    <x:row r="56" ht="92" customHeight="1"/>
    <x:row r="57" ht="92" customHeight="1"/>
    <x:row r="58" ht="92" customHeight="1"/>
    <x:row r="59" ht="92" customHeight="1"/>
    <x:row r="60" ht="92" customHeight="1"/>
    <x:row r="61" ht="92" customHeight="1"/>
    <x:row r="62" ht="92" customHeight="1"/>
    <x:row r="63" ht="92" customHeight="1"/>
    <x:row r="64" ht="92" customHeight="1"/>
    <x:row r="65" ht="92" customHeight="1"/>
    <x:row r="66" ht="92" customHeight="1"/>
    <x:row r="67" ht="92" customHeight="1"/>
    <x:row r="68" ht="92" customHeight="1"/>
    <x:row r="69" ht="92" customHeight="1"/>
    <x:row r="70" ht="92" customHeight="1"/>
    <x:row r="71" ht="92" customHeight="1"/>
    <x:row r="72" ht="92" customHeight="1"/>
    <x:row r="73" ht="92" customHeight="1"/>
    <x:row r="74" ht="92" customHeight="1"/>
    <x:row r="75" ht="92" customHeight="1"/>
    <x:row r="76" ht="92" customHeight="1"/>
    <x:row r="77" ht="92" customHeight="1"/>
    <x:row r="78" ht="92" customHeight="1"/>
    <x:row r="79" ht="92" customHeight="1"/>
    <x:row r="80" ht="92" customHeight="1"/>
    <x:row r="81" ht="92" customHeight="1"/>
    <x:row r="82" ht="92" customHeight="1"/>
    <x:row r="83" ht="92" customHeight="1"/>
    <x:row r="84" ht="92" customHeight="1"/>
    <x:row r="85" ht="92" customHeight="1"/>
    <x:row r="86" ht="92" customHeight="1"/>
    <x:row r="87" ht="92" customHeight="1"/>
  </x:sheetData>
  <x:mergeCells>
    <x:mergeCell ref="A2:S2"/>
    <x:mergeCell ref="A1:S1"/>
  </x:mergeCells>
  <x:conditionalFormatting sqref="R4:R87">
    <x:cfRule type="expression" dxfId="1" priority="1">
      <x:formula>R4="High"</x:formula>
    </x:cfRule>
  </x:conditionalFormatting>
  <x:pageMargins left="0.7" right="0.7" top="0.75" bottom="0.75" header="0.3" footer="0.3"/>
  <x:tableParts count="1">
    <x:tablePart xmlns:r="http://schemas.openxmlformats.org/officeDocument/2006/relationships" r:id="R5c65b230a00f4dbe"/>
  </x:tableParts>
</x:worksheet>
</file>

<file path=xl/worksheets/sheet6.xml><?xml version="1.0" encoding="utf-8"?>
<x:worksheet xmlns:x="http://schemas.openxmlformats.org/spreadsheetml/2006/main">
  <x:sheetFormatPr baseColWidth="8" defaultRowHeight="15"/>
  <x:cols>
    <x:col min="1" max="1" width="14" customWidth="1"/>
    <x:col min="2" max="2" width="9" customWidth="1"/>
    <x:col min="3" max="3" width="10" customWidth="1"/>
    <x:col min="4" max="4" width="24" customWidth="1"/>
    <x:col min="5" max="5" width="21" customWidth="1"/>
    <x:col min="6" max="6" width="21" customWidth="1"/>
    <x:col min="7" max="7" width="28" customWidth="1"/>
    <x:col min="8" max="8" width="28" customWidth="1"/>
    <x:col min="9" max="9" width="18" customWidth="1"/>
    <x:col min="10" max="10" width="22" customWidth="1"/>
    <x:col min="11" max="11" width="16" customWidth="1"/>
    <x:col min="12" max="12" width="12" customWidth="1"/>
    <x:col min="13" max="13" width="12" customWidth="1"/>
    <x:col min="14" max="14" width="12" customWidth="1"/>
    <x:col min="15" max="15" width="18" customWidth="1"/>
    <x:col min="16" max="16" width="20" customWidth="1"/>
    <x:col min="17" max="17" width="14" customWidth="1"/>
    <x:col min="18" max="18" width="16" customWidth="1"/>
    <x:col min="19" max="19" width="14" customWidth="1"/>
    <x:col min="20" max="20" width="16" customWidth="1"/>
    <x:col min="21" max="21" width="14" customWidth="1"/>
    <x:col min="22" max="22" width="48" customWidth="1"/>
    <x:col min="23" max="23" width="42" customWidth="1"/>
    <x:col min="24" max="24" width="55" customWidth="1"/>
    <x:col min="25" max="25" width="48" customWidth="1"/>
    <x:col min="26" max="26" width="42" customWidth="1"/>
    <x:col min="27" max="27" width="70" customWidth="1"/>
  </x:cols>
  <x:sheetData>
    <x:row r="1" ht="27" customHeight="1">
      <x:c r="A1" s="7" t="inlineStr">
        <x:is>
          <x:t xml:space="preserve">Combined Program Inventory</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c r="Y1" s="1" t="n"/>
      <x:c r="Z1" s="1" t="n"/>
      <x:c r="AA1" s="1" t="n"/>
    </x:row>
    <x:row r="2" ht="34" customHeight="1">
      <x:c r="A2" s="15" t="inlineStr">
        <x:is>
          <x:t xml:space="preserve">Audit rows removed for public distribution.</x:t>
        </x:is>
      </x:c>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c r="Y2" s="1" t="n"/>
      <x:c r="Z2" s="1" t="n"/>
      <x:c r="AA2" s="1" t="n"/>
    </x:row>
    <x:row r="3" ht="36" customHeight="1">
      <x:c r="A3" s="20" t="inlineStr">
        <x:is>
          <x:t xml:space="preserve">Batch</x:t>
        </x:is>
      </x:c>
      <x:c r="B3" s="20" t="inlineStr">
        <x:is>
          <x:t xml:space="preserve">Study</x:t>
        </x:is>
      </x:c>
      <x:c r="C3" s="20" t="inlineStr">
        <x:is>
          <x:t xml:space="preserve">Domain</x:t>
        </x:is>
      </x:c>
      <x:c r="D3" s="20" t="inlineStr">
        <x:is>
          <x:t xml:space="preserve">Program</x:t>
        </x:is>
      </x:c>
      <x:c r="E3" s="20" t="inlineStr">
        <x:is>
          <x:t xml:space="preserve">Before Program</x:t>
        </x:is>
      </x:c>
      <x:c r="F3" s="20" t="inlineStr">
        <x:is>
          <x:t xml:space="preserve">After Program</x:t>
        </x:is>
      </x:c>
      <x:c r="G3" s="20" t="inlineStr">
        <x:is>
          <x:t xml:space="preserve">Before Relative Path</x:t>
        </x:is>
      </x:c>
      <x:c r="H3" s="20" t="inlineStr">
        <x:is>
          <x:t xml:space="preserve">After Relative Path</x:t>
        </x:is>
      </x:c>
      <x:c r="I3" s="20" t="inlineStr">
        <x:is>
          <x:t xml:space="preserve">Pair Status</x:t>
        </x:is>
      </x:c>
      <x:c r="J3" s="20" t="inlineStr">
        <x:is>
          <x:t xml:space="preserve">Pairing Method</x:t>
        </x:is>
      </x:c>
      <x:c r="K3" s="20" t="inlineStr">
        <x:is>
          <x:t xml:space="preserve">Pairing Confidence</x:t>
        </x:is>
      </x:c>
      <x:c r="L3" s="20" t="inlineStr">
        <x:is>
          <x:t xml:space="preserve">Lines Before</x:t>
        </x:is>
      </x:c>
      <x:c r="M3" s="20" t="inlineStr">
        <x:is>
          <x:t xml:space="preserve">Lines After</x:t>
        </x:is>
      </x:c>
      <x:c r="N3" s="20" t="inlineStr">
        <x:is>
          <x:t xml:space="preserve">Real Changes</x:t>
        </x:is>
      </x:c>
      <x:c r="O3" s="20" t="inlineStr">
        <x:is>
          <x:t xml:space="preserve">Excluded Noise Changes</x:t>
        </x:is>
      </x:c>
      <x:c r="P3" s="20" t="inlineStr">
        <x:is>
          <x:t xml:space="preserve">Line-Ending-Only Differences</x:t>
        </x:is>
      </x:c>
      <x:c r="Q3" s="20" t="inlineStr">
        <x:is>
          <x:t xml:space="preserve">OS Axis Change Count</x:t>
        </x:is>
      </x:c>
      <x:c r="R3" s="20" t="inlineStr">
        <x:is>
          <x:t xml:space="preserve">Platform Axis Change Count</x:t>
        </x:is>
      </x:c>
      <x:c r="S3" s="20" t="inlineStr">
        <x:is>
          <x:t xml:space="preserve">Both Axis Change Count</x:t>
        </x:is>
      </x:c>
      <x:c r="T3" s="20" t="inlineStr">
        <x:is>
          <x:t xml:space="preserve">Unclear Axis Change Count</x:t>
        </x:is>
      </x:c>
      <x:c r="U3" s="20" t="inlineStr">
        <x:is>
          <x:t xml:space="preserve">Logic Change Count</x:t>
        </x:is>
      </x:c>
      <x:c r="V3" s="20" t="inlineStr">
        <x:is>
          <x:t xml:space="preserve">Global Rule IDs</x:t>
        </x:is>
      </x:c>
      <x:c r="W3" s="20" t="inlineStr">
        <x:is>
          <x:t xml:space="preserve">Global Candidate IDs</x:t>
        </x:is>
      </x:c>
      <x:c r="X3" s="20" t="inlineStr">
        <x:is>
          <x:t xml:space="preserve">Original Rule IDs</x:t>
        </x:is>
      </x:c>
      <x:c r="Y3" s="20" t="inlineStr">
        <x:is>
          <x:t xml:space="preserve">Original Candidate Rule IDs</x:t>
        </x:is>
      </x:c>
      <x:c r="Z3" s="20" t="inlineStr">
        <x:is>
          <x:t xml:space="preserve">Original Rule Exception IDs</x:t>
        </x:is>
      </x:c>
      <x:c r="AA3" s="20" t="inlineStr">
        <x:is>
          <x:t xml:space="preserve">Notes</x:t>
        </x:is>
      </x:c>
    </x:row>
    <x:row r="4" ht="58" customHeight="1">
      <x:c r="A4" s="28" t="inlineStr">
        <x:is>
          <x:t xml:space="preserve">Removed for public distribution</x:t>
        </x:is>
      </x:c>
      <x:c r="B4" s="28" t="n"/>
      <x:c r="C4" s="28" t="n"/>
      <x:c r="D4" s="28" t="n"/>
      <x:c r="E4" s="28" t="n"/>
      <x:c r="F4" s="28" t="n"/>
      <x:c r="G4" s="28" t="n"/>
      <x:c r="H4" s="28" t="n"/>
      <x:c r="I4" s="28" t="n"/>
      <x:c r="J4" s="28" t="n"/>
      <x:c r="K4" s="28" t="n"/>
      <x:c r="L4" s="28" t="n"/>
      <x:c r="M4" s="28" t="n"/>
      <x:c r="N4" s="28" t="n"/>
      <x:c r="O4" s="28" t="n"/>
      <x:c r="P4" s="28" t="n"/>
      <x:c r="Q4" s="28" t="n"/>
      <x:c r="R4" s="28" t="n"/>
      <x:c r="S4" s="28" t="n"/>
      <x:c r="T4" s="28" t="n"/>
      <x:c r="U4" s="28" t="n"/>
      <x:c r="V4" s="28" t="n"/>
      <x:c r="W4" s="28" t="n"/>
      <x:c r="X4" s="28" t="n"/>
      <x:c r="Y4" s="28" t="n"/>
      <x:c r="Z4" s="28" t="n"/>
      <x:c r="AA4" s="28" t="n"/>
    </x:row>
    <x:row r="5" ht="58" customHeight="1"/>
    <x:row r="6" ht="58" customHeight="1"/>
    <x:row r="7" ht="58" customHeight="1"/>
    <x:row r="8" ht="58" customHeight="1"/>
    <x:row r="9" ht="58" customHeight="1"/>
    <x:row r="10" ht="58" customHeight="1"/>
    <x:row r="11" ht="58" customHeight="1"/>
    <x:row r="12" ht="58" customHeight="1"/>
    <x:row r="13" ht="58" customHeight="1"/>
    <x:row r="14" ht="58" customHeight="1"/>
    <x:row r="15" ht="58" customHeight="1"/>
    <x:row r="16" ht="58" customHeight="1"/>
    <x:row r="17" ht="58" customHeight="1"/>
    <x:row r="18" ht="58" customHeight="1"/>
    <x:row r="19" ht="58" customHeight="1"/>
    <x:row r="20" ht="58" customHeight="1"/>
    <x:row r="21" ht="58" customHeight="1"/>
    <x:row r="22" ht="58" customHeight="1"/>
    <x:row r="23" ht="58" customHeight="1"/>
    <x:row r="24" ht="58" customHeight="1"/>
    <x:row r="25" ht="58" customHeight="1"/>
    <x:row r="26" ht="58" customHeight="1"/>
    <x:row r="27" ht="58" customHeight="1"/>
    <x:row r="28" ht="58" customHeight="1"/>
    <x:row r="29" ht="58" customHeight="1"/>
    <x:row r="30" ht="58" customHeight="1"/>
    <x:row r="31" ht="58" customHeight="1"/>
    <x:row r="32" ht="58" customHeight="1"/>
    <x:row r="33" ht="58" customHeight="1"/>
    <x:row r="34" ht="58" customHeight="1"/>
    <x:row r="35" ht="58" customHeight="1"/>
    <x:row r="36" ht="58" customHeight="1"/>
    <x:row r="37" ht="58" customHeight="1"/>
    <x:row r="38" ht="58" customHeight="1"/>
    <x:row r="39" ht="58" customHeight="1"/>
    <x:row r="40" ht="58" customHeight="1"/>
    <x:row r="41" ht="58" customHeight="1"/>
    <x:row r="42" ht="58" customHeight="1"/>
    <x:row r="43" ht="58" customHeight="1"/>
    <x:row r="44" ht="58" customHeight="1"/>
    <x:row r="45" ht="58" customHeight="1"/>
    <x:row r="46" ht="58" customHeight="1"/>
    <x:row r="47" ht="58" customHeight="1"/>
    <x:row r="48" ht="58" customHeight="1"/>
    <x:row r="49" ht="58" customHeight="1"/>
    <x:row r="50" ht="58" customHeight="1"/>
    <x:row r="51" ht="58" customHeight="1"/>
    <x:row r="52" ht="58" customHeight="1"/>
    <x:row r="53" ht="58" customHeight="1"/>
    <x:row r="54" ht="58" customHeight="1"/>
    <x:row r="55" ht="58" customHeight="1"/>
    <x:row r="56" ht="58" customHeight="1"/>
    <x:row r="57" ht="58" customHeight="1"/>
    <x:row r="58" ht="58" customHeight="1"/>
    <x:row r="59" ht="58" customHeight="1"/>
    <x:row r="60" ht="58" customHeight="1"/>
    <x:row r="61" ht="58" customHeight="1"/>
    <x:row r="62" ht="58" customHeight="1"/>
    <x:row r="63" ht="58" customHeight="1"/>
    <x:row r="64" ht="58" customHeight="1"/>
    <x:row r="65" ht="58" customHeight="1"/>
    <x:row r="66" ht="58" customHeight="1"/>
    <x:row r="67" ht="58" customHeight="1"/>
    <x:row r="68" ht="58" customHeight="1"/>
    <x:row r="69" ht="58" customHeight="1"/>
    <x:row r="70" ht="58" customHeight="1"/>
    <x:row r="71" ht="58" customHeight="1"/>
    <x:row r="72" ht="58" customHeight="1"/>
    <x:row r="73" ht="58" customHeight="1"/>
    <x:row r="74" ht="58" customHeight="1"/>
    <x:row r="75" ht="58" customHeight="1"/>
    <x:row r="76" ht="58" customHeight="1"/>
    <x:row r="77" ht="58" customHeight="1"/>
    <x:row r="78" ht="58" customHeight="1"/>
    <x:row r="79" ht="58" customHeight="1"/>
    <x:row r="80" ht="58" customHeight="1"/>
    <x:row r="81" ht="58" customHeight="1"/>
    <x:row r="82" ht="58" customHeight="1"/>
    <x:row r="83" ht="58" customHeight="1"/>
    <x:row r="84" ht="58" customHeight="1"/>
    <x:row r="85" ht="58" customHeight="1"/>
    <x:row r="86" ht="58" customHeight="1"/>
    <x:row r="87" ht="58" customHeight="1"/>
    <x:row r="88" ht="58" customHeight="1"/>
    <x:row r="89" ht="58" customHeight="1"/>
    <x:row r="90" ht="58" customHeight="1"/>
    <x:row r="91" ht="58" customHeight="1"/>
    <x:row r="92" ht="58" customHeight="1"/>
    <x:row r="93" ht="58" customHeight="1"/>
    <x:row r="94" ht="58" customHeight="1"/>
    <x:row r="95" ht="58" customHeight="1"/>
    <x:row r="96" ht="58" customHeight="1"/>
    <x:row r="97" ht="58" customHeight="1"/>
    <x:row r="98" ht="58" customHeight="1"/>
    <x:row r="99" ht="58" customHeight="1"/>
    <x:row r="100" ht="58" customHeight="1"/>
    <x:row r="101" ht="58" customHeight="1"/>
    <x:row r="102" ht="58" customHeight="1"/>
    <x:row r="103" ht="58" customHeight="1"/>
    <x:row r="104" ht="58" customHeight="1"/>
    <x:row r="105" ht="58" customHeight="1"/>
    <x:row r="106" ht="58" customHeight="1"/>
    <x:row r="107" ht="58" customHeight="1"/>
    <x:row r="108" ht="58" customHeight="1"/>
    <x:row r="109" ht="58" customHeight="1"/>
    <x:row r="110" ht="58" customHeight="1"/>
    <x:row r="111" ht="58" customHeight="1"/>
    <x:row r="112" ht="58" customHeight="1"/>
    <x:row r="113" ht="58" customHeight="1"/>
    <x:row r="114" ht="58" customHeight="1"/>
    <x:row r="115" ht="58" customHeight="1"/>
    <x:row r="116" ht="58" customHeight="1"/>
    <x:row r="117" ht="58" customHeight="1"/>
    <x:row r="118" ht="58" customHeight="1"/>
    <x:row r="119" ht="58" customHeight="1"/>
    <x:row r="120" ht="58" customHeight="1"/>
    <x:row r="121" ht="58" customHeight="1"/>
    <x:row r="122" ht="58" customHeight="1"/>
    <x:row r="123" ht="58" customHeight="1"/>
    <x:row r="124" ht="58" customHeight="1"/>
    <x:row r="125" ht="58" customHeight="1"/>
    <x:row r="126" ht="58" customHeight="1"/>
    <x:row r="127" ht="58" customHeight="1"/>
    <x:row r="128" ht="58" customHeight="1"/>
    <x:row r="129" ht="58" customHeight="1"/>
    <x:row r="130" ht="58" customHeight="1"/>
    <x:row r="131" ht="58" customHeight="1"/>
    <x:row r="132" ht="58" customHeight="1"/>
    <x:row r="133" ht="58" customHeight="1"/>
    <x:row r="134" ht="58" customHeight="1"/>
    <x:row r="135" ht="58" customHeight="1"/>
    <x:row r="136" ht="58" customHeight="1"/>
    <x:row r="137" ht="58" customHeight="1"/>
    <x:row r="138" ht="58" customHeight="1"/>
    <x:row r="139" ht="58" customHeight="1"/>
    <x:row r="140" ht="58" customHeight="1"/>
    <x:row r="141" ht="58" customHeight="1"/>
    <x:row r="142" ht="58" customHeight="1"/>
    <x:row r="143" ht="58" customHeight="1"/>
    <x:row r="144" ht="58" customHeight="1"/>
    <x:row r="145" ht="58" customHeight="1"/>
    <x:row r="146" ht="58" customHeight="1"/>
    <x:row r="147" ht="58" customHeight="1"/>
    <x:row r="148" ht="58" customHeight="1"/>
    <x:row r="149" ht="58" customHeight="1"/>
    <x:row r="150" ht="58" customHeight="1"/>
    <x:row r="151" ht="58" customHeight="1"/>
    <x:row r="152" ht="58" customHeight="1"/>
    <x:row r="153" ht="58" customHeight="1"/>
    <x:row r="154" ht="58" customHeight="1"/>
    <x:row r="155" ht="58" customHeight="1"/>
    <x:row r="156" ht="58" customHeight="1"/>
    <x:row r="157" ht="58" customHeight="1"/>
    <x:row r="158" ht="58" customHeight="1"/>
    <x:row r="159" ht="58" customHeight="1"/>
    <x:row r="160" ht="58" customHeight="1"/>
    <x:row r="161" ht="58" customHeight="1"/>
    <x:row r="162" ht="58" customHeight="1"/>
    <x:row r="163" ht="58" customHeight="1"/>
    <x:row r="164" ht="58" customHeight="1"/>
    <x:row r="165" ht="58" customHeight="1"/>
    <x:row r="166" ht="58" customHeight="1"/>
    <x:row r="167" ht="58" customHeight="1"/>
    <x:row r="168" ht="58" customHeight="1"/>
    <x:row r="169" ht="58" customHeight="1"/>
    <x:row r="170" ht="58" customHeight="1"/>
    <x:row r="171" ht="58" customHeight="1"/>
    <x:row r="172" ht="58" customHeight="1"/>
    <x:row r="173" ht="58" customHeight="1"/>
    <x:row r="174" ht="58" customHeight="1"/>
    <x:row r="175" ht="58" customHeight="1"/>
    <x:row r="176" ht="58" customHeight="1"/>
    <x:row r="177" ht="58" customHeight="1"/>
    <x:row r="178" ht="58" customHeight="1"/>
    <x:row r="179" ht="58" customHeight="1"/>
    <x:row r="180" ht="58" customHeight="1"/>
    <x:row r="181" ht="58" customHeight="1"/>
    <x:row r="182" ht="58" customHeight="1"/>
    <x:row r="183" ht="58" customHeight="1"/>
    <x:row r="184" ht="58" customHeight="1"/>
    <x:row r="185" ht="58" customHeight="1"/>
    <x:row r="186" ht="58" customHeight="1"/>
    <x:row r="187" ht="58" customHeight="1"/>
    <x:row r="188" ht="58" customHeight="1"/>
    <x:row r="189" ht="58" customHeight="1"/>
    <x:row r="190" ht="58" customHeight="1"/>
    <x:row r="191" ht="58" customHeight="1"/>
    <x:row r="192" ht="58" customHeight="1"/>
    <x:row r="193" ht="58" customHeight="1"/>
    <x:row r="194" ht="58" customHeight="1"/>
    <x:row r="195" ht="58" customHeight="1"/>
    <x:row r="196" ht="58" customHeight="1"/>
    <x:row r="197" ht="58" customHeight="1"/>
    <x:row r="198" ht="58" customHeight="1"/>
    <x:row r="199" ht="58" customHeight="1"/>
    <x:row r="200" ht="58" customHeight="1"/>
    <x:row r="201" ht="58" customHeight="1"/>
    <x:row r="202" ht="58" customHeight="1"/>
    <x:row r="203" ht="58" customHeight="1"/>
    <x:row r="204" ht="58" customHeight="1"/>
    <x:row r="205" ht="58" customHeight="1"/>
    <x:row r="206" ht="58" customHeight="1"/>
    <x:row r="207" ht="58" customHeight="1"/>
    <x:row r="208" ht="58" customHeight="1"/>
    <x:row r="209" ht="58" customHeight="1"/>
    <x:row r="210" ht="58" customHeight="1"/>
    <x:row r="211" ht="58" customHeight="1"/>
    <x:row r="212" ht="58" customHeight="1"/>
    <x:row r="213" ht="58" customHeight="1"/>
    <x:row r="214" ht="58" customHeight="1"/>
    <x:row r="215" ht="58" customHeight="1"/>
    <x:row r="216" ht="58" customHeight="1"/>
    <x:row r="217" ht="58" customHeight="1"/>
    <x:row r="218" ht="58" customHeight="1"/>
    <x:row r="219" ht="58" customHeight="1"/>
    <x:row r="220" ht="58" customHeight="1"/>
    <x:row r="221" ht="58" customHeight="1"/>
    <x:row r="222" ht="58" customHeight="1"/>
    <x:row r="223" ht="58" customHeight="1"/>
    <x:row r="224" ht="58" customHeight="1"/>
    <x:row r="225" ht="58" customHeight="1"/>
    <x:row r="226" ht="58" customHeight="1"/>
    <x:row r="227" ht="58" customHeight="1"/>
    <x:row r="228" ht="58" customHeight="1"/>
    <x:row r="229" ht="58" customHeight="1"/>
    <x:row r="230" ht="58" customHeight="1"/>
    <x:row r="231" ht="58" customHeight="1"/>
    <x:row r="232" ht="58" customHeight="1"/>
    <x:row r="233" ht="58" customHeight="1"/>
    <x:row r="234" ht="58" customHeight="1"/>
    <x:row r="235" ht="58" customHeight="1"/>
    <x:row r="236" ht="58" customHeight="1"/>
    <x:row r="237" ht="58" customHeight="1"/>
    <x:row r="238" ht="58" customHeight="1"/>
    <x:row r="239" ht="58" customHeight="1"/>
    <x:row r="240" ht="58" customHeight="1"/>
    <x:row r="241" ht="58" customHeight="1"/>
    <x:row r="242" ht="58" customHeight="1"/>
    <x:row r="243" ht="58" customHeight="1"/>
    <x:row r="244" ht="58" customHeight="1"/>
    <x:row r="245" ht="58" customHeight="1"/>
    <x:row r="246" ht="58" customHeight="1"/>
    <x:row r="247" ht="58" customHeight="1"/>
    <x:row r="248" ht="58" customHeight="1"/>
    <x:row r="249" ht="58" customHeight="1"/>
    <x:row r="250" ht="58" customHeight="1"/>
    <x:row r="251" ht="58" customHeight="1"/>
    <x:row r="252" ht="58" customHeight="1"/>
    <x:row r="253" ht="58" customHeight="1"/>
    <x:row r="254" ht="58" customHeight="1"/>
    <x:row r="255" ht="58" customHeight="1"/>
    <x:row r="256" ht="58" customHeight="1"/>
    <x:row r="257" ht="58" customHeight="1"/>
    <x:row r="258" ht="58" customHeight="1"/>
    <x:row r="259" ht="58" customHeight="1"/>
    <x:row r="260" ht="58" customHeight="1"/>
    <x:row r="261" ht="58" customHeight="1"/>
    <x:row r="262" ht="58" customHeight="1"/>
    <x:row r="263" ht="58" customHeight="1"/>
    <x:row r="264" ht="58" customHeight="1"/>
    <x:row r="265" ht="58" customHeight="1"/>
    <x:row r="266" ht="58" customHeight="1"/>
    <x:row r="267" ht="58" customHeight="1"/>
    <x:row r="268" ht="58" customHeight="1"/>
    <x:row r="269" ht="58" customHeight="1"/>
    <x:row r="270" ht="58" customHeight="1"/>
    <x:row r="271" ht="58" customHeight="1"/>
    <x:row r="272" ht="58" customHeight="1"/>
    <x:row r="273" ht="58" customHeight="1"/>
    <x:row r="274" ht="58" customHeight="1"/>
    <x:row r="275" ht="58" customHeight="1"/>
    <x:row r="276" ht="58" customHeight="1"/>
    <x:row r="277" ht="58" customHeight="1"/>
    <x:row r="278" ht="58" customHeight="1"/>
    <x:row r="279" ht="58" customHeight="1"/>
    <x:row r="280" ht="58" customHeight="1"/>
    <x:row r="281" ht="58" customHeight="1"/>
    <x:row r="282" ht="58" customHeight="1"/>
    <x:row r="283" ht="58" customHeight="1"/>
    <x:row r="284" ht="58" customHeight="1"/>
    <x:row r="285" ht="58" customHeight="1"/>
    <x:row r="286" ht="58" customHeight="1"/>
    <x:row r="287" ht="58" customHeight="1"/>
    <x:row r="288" ht="58" customHeight="1"/>
    <x:row r="289" ht="58" customHeight="1"/>
    <x:row r="290" ht="58" customHeight="1"/>
    <x:row r="291" ht="58" customHeight="1"/>
    <x:row r="292" ht="58" customHeight="1"/>
    <x:row r="293" ht="58" customHeight="1"/>
    <x:row r="294" ht="58" customHeight="1"/>
    <x:row r="295" ht="58" customHeight="1"/>
    <x:row r="296" ht="58" customHeight="1"/>
    <x:row r="297" ht="58" customHeight="1"/>
    <x:row r="298" ht="58" customHeight="1"/>
    <x:row r="299" ht="58" customHeight="1"/>
    <x:row r="300" ht="58" customHeight="1"/>
    <x:row r="301" ht="58" customHeight="1"/>
    <x:row r="302" ht="58" customHeight="1"/>
    <x:row r="303" ht="58" customHeight="1"/>
    <x:row r="304" ht="58" customHeight="1"/>
    <x:row r="305" ht="58" customHeight="1"/>
    <x:row r="306" ht="58" customHeight="1"/>
    <x:row r="307" ht="58" customHeight="1"/>
    <x:row r="308" ht="58" customHeight="1"/>
    <x:row r="309" ht="58" customHeight="1"/>
    <x:row r="310" ht="58" customHeight="1"/>
    <x:row r="311" ht="58" customHeight="1"/>
    <x:row r="312" ht="58" customHeight="1"/>
    <x:row r="313" ht="58" customHeight="1"/>
    <x:row r="314" ht="58" customHeight="1"/>
    <x:row r="315" ht="58" customHeight="1"/>
    <x:row r="316" ht="58" customHeight="1"/>
    <x:row r="317" ht="58" customHeight="1"/>
    <x:row r="318" ht="58" customHeight="1"/>
    <x:row r="319" ht="58" customHeight="1"/>
    <x:row r="320" ht="58" customHeight="1"/>
    <x:row r="321" ht="58" customHeight="1"/>
    <x:row r="322" ht="58" customHeight="1"/>
    <x:row r="323" ht="58" customHeight="1"/>
    <x:row r="324" ht="58" customHeight="1"/>
    <x:row r="325" ht="58" customHeight="1"/>
    <x:row r="326" ht="58" customHeight="1"/>
    <x:row r="327" ht="58" customHeight="1"/>
    <x:row r="328" ht="58" customHeight="1"/>
    <x:row r="329" ht="58" customHeight="1"/>
  </x:sheetData>
  <x:mergeCells>
    <x:mergeCell ref="A1:AA1"/>
    <x:mergeCell ref="A2:AA2"/>
  </x:mergeCells>
  <x:conditionalFormatting sqref="I4:I329">
    <x:cfRule type="expression" dxfId="9" priority="1">
      <x:formula>I4="Unpaired Before"</x:formula>
    </x:cfRule>
    <x:cfRule type="expression" dxfId="9" priority="2">
      <x:formula>I4="Unpaired After"</x:formula>
    </x:cfRule>
  </x:conditionalFormatting>
  <x:pageMargins left="0.7" right="0.7" top="0.75" bottom="0.75" header="0.3" footer="0.3"/>
  <x:tableParts count="1">
    <x:tablePart xmlns:r="http://schemas.openxmlformats.org/officeDocument/2006/relationships" r:id="Rc08d41c8edd841f6"/>
  </x:tableParts>
</x:worksheet>
</file>

<file path=xl/worksheets/sheet7.xml><?xml version="1.0" encoding="utf-8"?>
<x:worksheet xmlns:x="http://schemas.openxmlformats.org/spreadsheetml/2006/main">
  <x:sheetFormatPr baseColWidth="8" defaultRowHeight="15"/>
  <x:cols>
    <x:col min="1" max="1" width="12" customWidth="1"/>
    <x:col min="2" max="2" width="28" customWidth="1"/>
    <x:col min="3" max="3" width="30" customWidth="1"/>
    <x:col min="4" max="4" width="50" customWidth="1"/>
    <x:col min="5" max="5" width="50" customWidth="1"/>
    <x:col min="6" max="6" width="42" customWidth="1"/>
    <x:col min="7" max="7" width="30" customWidth="1"/>
    <x:col min="8" max="8" width="42" customWidth="1"/>
    <x:col min="9" max="9" width="16" customWidth="1"/>
    <x:col min="10" max="10" width="16" customWidth="1"/>
    <x:col min="11" max="11" width="22" customWidth="1"/>
    <x:col min="12" max="12" width="22" customWidth="1"/>
    <x:col min="13" max="13" width="62" customWidth="1"/>
    <x:col min="14" max="14" width="66" customWidth="1"/>
  </x:cols>
  <x:sheetData>
    <x:row r="1" ht="27" customHeight="1">
      <x:c r="A1" s="7" t="inlineStr">
        <x:is>
          <x:t xml:space="preserve">Consolidated Automation Parameters</x:t>
        </x:is>
      </x:c>
      <x:c r="B1" s="1" t="n"/>
      <x:c r="C1" s="1" t="n"/>
      <x:c r="D1" s="1" t="n"/>
      <x:c r="E1" s="1" t="n"/>
      <x:c r="F1" s="1" t="n"/>
      <x:c r="G1" s="1" t="n"/>
      <x:c r="H1" s="1" t="n"/>
      <x:c r="I1" s="1" t="n"/>
      <x:c r="J1" s="1" t="n"/>
      <x:c r="K1" s="1" t="n"/>
      <x:c r="L1" s="1" t="n"/>
      <x:c r="M1" s="1" t="n"/>
      <x:c r="N1" s="1" t="n"/>
    </x:row>
    <x:row r="2" ht="34" customHeight="1">
      <x:c r="A2" s="15" t="inlineStr">
        <x:is>
          <x:t xml:space="preserve">Parameters with the same suggested name are merged across source workbooks. Observed value variants and global-rule references are retained rather than overwritten.</x:t>
        </x:is>
      </x:c>
      <x:c r="B2" s="1" t="n"/>
      <x:c r="C2" s="1" t="n"/>
      <x:c r="D2" s="1" t="n"/>
      <x:c r="E2" s="1" t="n"/>
      <x:c r="F2" s="1" t="n"/>
      <x:c r="G2" s="1" t="n"/>
      <x:c r="H2" s="1" t="n"/>
      <x:c r="I2" s="1" t="n"/>
      <x:c r="J2" s="1" t="n"/>
      <x:c r="K2" s="1" t="n"/>
      <x:c r="L2" s="1" t="n"/>
      <x:c r="M2" s="1" t="n"/>
      <x:c r="N2" s="1" t="n"/>
    </x:row>
    <x:row r="3" ht="36" customHeight="1">
      <x:c r="A3" s="20" t="inlineStr">
        <x:is>
          <x:t xml:space="preserve">Parameter ID</x:t>
        </x:is>
      </x:c>
      <x:c r="B3" s="20" t="inlineStr">
        <x:is>
          <x:t xml:space="preserve">Suggested Parameter Name</x:t>
        </x:is>
      </x:c>
      <x:c r="C3" s="20" t="inlineStr">
        <x:is>
          <x:t xml:space="preserve">Parameter Type / Variants</x:t>
        </x:is>
      </x:c>
      <x:c r="D3" s="20" t="inlineStr">
        <x:is>
          <x:t xml:space="preserve">Observed Before Values</x:t>
        </x:is>
      </x:c>
      <x:c r="E3" s="20" t="inlineStr">
        <x:is>
          <x:t xml:space="preserve">Observed After Values</x:t>
        </x:is>
      </x:c>
      <x:c r="F3" s="20" t="inlineStr">
        <x:is>
          <x:t xml:space="preserve">Global Rule IDs</x:t>
        </x:is>
      </x:c>
      <x:c r="G3" s="20" t="inlineStr">
        <x:is>
          <x:t xml:space="preserve">Source Batches</x:t>
        </x:is>
      </x:c>
      <x:c r="H3" s="20" t="inlineStr">
        <x:is>
          <x:t xml:space="preserve">Example Programs</x:t>
        </x:is>
      </x:c>
      <x:c r="I3" s="20" t="inlineStr">
        <x:is>
          <x:t xml:space="preserve">Numeric Occurrence Total</x:t>
        </x:is>
      </x:c>
      <x:c r="J3" s="20" t="inlineStr">
        <x:is>
          <x:t xml:space="preserve">Distinct Program Total</x:t>
        </x:is>
      </x:c>
      <x:c r="K3" s="20" t="inlineStr">
        <x:is>
          <x:t xml:space="preserve">Scope / Variants</x:t>
        </x:is>
      </x:c>
      <x:c r="L3" s="20" t="inlineStr">
        <x:is>
          <x:t xml:space="preserve">Occurrence Notes</x:t>
        </x:is>
      </x:c>
      <x:c r="M3" s="20" t="inlineStr">
        <x:is>
          <x:t xml:space="preserve">Notes</x:t>
        </x:is>
      </x:c>
      <x:c r="N3" s="20" t="inlineStr">
        <x:is>
          <x:t xml:space="preserve">Original Parameter IDs</x:t>
        </x:is>
      </x:c>
    </x:row>
    <x:row r="4" ht="62" customHeight="1">
      <x:c r="A4" s="28" t="inlineStr">
        <x:is>
          <x:t xml:space="preserve">P-001</x:t>
        </x:is>
      </x:c>
      <x:c r="B4" s="28" t="inlineStr">
        <x:is>
          <x:t xml:space="preserve">ADAM_DIR_TOKEN</x:t>
        </x:is>
      </x:c>
      <x:c r="C4" s="28" t="inlineStr">
        <x:is>
          <x:t xml:space="preserve">Directory token/case</x:t>
        </x:is>
      </x:c>
      <x:c r="D4" s="28" t="inlineStr">
        <x:is>
          <x:t xml:space="preserve">adam</x:t>
        </x:is>
      </x:c>
      <x:c r="E4" s="28" t="inlineStr">
        <x:is>
          <x:t xml:space="preserve">ADAM and ADaM</x:t>
        </x:is>
      </x:c>
      <x:c r="F4" s="28" t="inlineStr">
        <x:is>
          <x:t xml:space="preserve">R-014; R-016; C-006</x:t>
        </x:is>
      </x:c>
      <x:c r="G4" s="28" t="str">
        <x:v>EXAMPLE001 ADaM</x:v>
      </x:c>
      <x:c r="H4" s="28" t="str">
        <x:v>EXAMPLE001 ADaM: adae.sas; EXAMPLE001 ADaM: adlb.sas; EXAMPLE001 ADaM: adpr.sas</x:v>
      </x:c>
      <x:c r="I4" s="28" t="n">
        <x:v>18</x:v>
      </x:c>
      <x:c r="J4" s="28" t="n">
        <x:v>8</x:v>
      </x:c>
      <x:c r="K4" s="28" t="inlineStr">
        <x:is>
          <x:t xml:space="preserve">Environment</x:t>
        </x:is>
      </x:c>
      <x:c r="L4" s="28" t="n"/>
      <x:c r="M4" s="28" t="str">
        <x:v>EXAMPLE001 ADaM: The after set uses both `ADAM` and `ADaM`; preserve observed case rather than silently normalizing it.</x:v>
      </x:c>
      <x:c r="N4" s="28" t="str">
        <x:v>EXAMPLE001 ADaM:P-201-007</x:v>
      </x:c>
    </x:row>
    <x:row r="5" ht="62" customHeight="1">
      <x:c r="A5" s="28" t="inlineStr">
        <x:is>
          <x:t xml:space="preserve">P-002</x:t>
        </x:is>
      </x:c>
      <x:c r="B5" s="28" t="inlineStr">
        <x:is>
          <x:t xml:space="preserve">ADAM_LIBREF</x:t>
        </x:is>
      </x:c>
      <x:c r="C5" s="28" t="inlineStr">
        <x:is>
          <x:t xml:space="preserve">Library name | SAS library reference</x:t>
        </x:is>
      </x:c>
      <x:c r="D5" s="28" t="inlineStr">
        <x:is>
          <x:t xml:space="preserve">data / DATA / omitted | data or omitted</x:t>
        </x:is>
      </x:c>
      <x:c r="E5" s="28" t="inlineStr">
        <x:is>
          <x:t xml:space="preserve">ADaM / adam</x:t>
        </x:is>
      </x:c>
      <x:c r="F5" s="28" t="inlineStr">
        <x:is>
          <x:t xml:space="preserve">R-002; R-013; R-004; C-014; R-026; C-004</x:t>
        </x:is>
      </x:c>
      <x:c r="G5" s="28" t="str">
        <x:v>EXAMPLE002 ADaM; EXAMPLE002 TLF</x:v>
      </x:c>
      <x:c r="H5" s="28" t="str">
        <x:v>EXAMPLE002 ADaM: u900adae.sas; EXAMPLE002 ADaM: u900adqs.sas; EXAMPLE002 ADaM: u900tte.sas; EXAMPLE002 TLF: l900ae01.sas; EXAMPLE002 TLF: l900cv01.sas; EXAMPLE002 TLF: l900ae03.sas</x:v>
      </x:c>
      <x:c r="I5" s="28" t="n">
        <x:v>133</x:v>
      </x:c>
      <x:c r="J5" s="28" t="n">
        <x:v>52</x:v>
      </x:c>
      <x:c r="K5" s="28" t="inlineStr">
        <x:is>
          <x:t xml:space="preserve">Global | Platform</x:t>
        </x:is>
      </x:c>
      <x:c r="L5" s="28" t="n"/>
      <x:c r="M5" s="28" t="str">
        <x:v>EXAMPLE002 ADaM: Observed after-source capitalization varies between ADaM and adam; SAS libref semantics are case-insensitive, but exact source style is not consistent. | EXAMPLE002 TLF: Preserve the literal capitalization used by the target context where exact source reproduction is required.</x:v>
      </x:c>
      <x:c r="N5" s="28" t="str">
        <x:v>EXAMPLE002 ADaM:P-402-ADAM-002; EXAMPLE002 TLF:P-402-TLF-002</x:v>
      </x:c>
    </x:row>
    <x:row r="6" ht="62" customHeight="1">
      <x:c r="A6" s="28" t="inlineStr">
        <x:is>
          <x:t xml:space="preserve">P-003</x:t>
        </x:is>
      </x:c>
      <x:c r="B6" s="28" t="str">
        <x:v>VENDORTREATMENT_TREATMENT_DATASET</x:v>
      </x:c>
      <x:c r="C6" s="28" t="inlineStr">
        <x:is>
          <x:t xml:space="preserve">Dataset name</x:t>
        </x:is>
      </x:c>
      <x:c r="D6" s="28" t="str">
        <x:v>&amp;vendortreatment_trt..csv</x:v>
      </x:c>
      <x:c r="E6" s="28" t="str">
        <x:v>ext.Vendortreatment_treatment_code</x:v>
      </x:c>
      <x:c r="F6" s="28" t="inlineStr">
        <x:is>
          <x:t xml:space="preserve">R-027</x:t>
        </x:is>
      </x:c>
      <x:c r="G6" s="28" t="str">
        <x:v>EXAMPLE002 SDTM</x:v>
      </x:c>
      <x:c r="H6" s="28" t="str">
        <x:v>EXAMPLE002 SDTM: t900dm.sas; EXAMPLE002 SDTM: t900se.sas</x:v>
      </x:c>
      <x:c r="I6" s="28" t="n">
        <x:v>3</x:v>
      </x:c>
      <x:c r="J6" s="28" t="n">
        <x:v>2</x:v>
      </x:c>
      <x:c r="K6" s="28" t="inlineStr">
        <x:is>
          <x:t xml:space="preserve">Study</x:t>
        </x:is>
      </x:c>
      <x:c r="L6" s="28" t="n"/>
      <x:c r="M6" s="28" t="str">
        <x:v>EXAMPLE002 SDTM: External treatment-code source.</x:v>
      </x:c>
      <x:c r="N6" s="28" t="str">
        <x:v>EXAMPLE002 SDTM:P-402-SDTM-007</x:v>
      </x:c>
    </x:row>
    <x:row r="7" ht="62" customHeight="1">
      <x:c r="A7" s="28" t="inlineStr">
        <x:is>
          <x:t xml:space="preserve">P-004</x:t>
        </x:is>
      </x:c>
      <x:c r="B7" s="28" t="str">
        <x:v>VENDORIMAGINGA_IMAGING_DATASET</x:v>
      </x:c>
      <x:c r="C7" s="28" t="inlineStr">
        <x:is>
          <x:t xml:space="preserve">Dataset naming pattern</x:t>
        </x:is>
      </x:c>
      <x:c r="D7" s="28" t="inlineStr">
        <x:is>
          <x:t xml:space="preserve">&amp;*_ext_dataset</x:t>
        </x:is>
      </x:c>
      <x:c r="E7" s="28" t="str">
        <x:v>Vendorimaginga_imaging_{DOMAIN}</x:v>
      </x:c>
      <x:c r="F7" s="28" t="inlineStr">
        <x:is>
          <x:t xml:space="preserve">R-031</x:t>
        </x:is>
      </x:c>
      <x:c r="G7" s="28" t="str">
        <x:v>EXAMPLE002 SDTM</x:v>
      </x:c>
      <x:c r="H7" s="28" t="str">
        <x:v>EXAMPLE002 SDTM: t900co.sas; EXAMPLE002 SDTM: t900sv.sas</x:v>
      </x:c>
      <x:c r="I7" s="28" t="n">
        <x:v>2</x:v>
      </x:c>
      <x:c r="J7" s="28" t="n">
        <x:v>2</x:v>
      </x:c>
      <x:c r="K7" s="28" t="inlineStr">
        <x:is>
          <x:t xml:space="preserve">Domain</x:t>
        </x:is>
      </x:c>
      <x:c r="L7" s="28" t="n"/>
      <x:c r="M7" s="28" t="str">
        <x:v>EXAMPLE002 SDTM: RS has a conflicting disabled-source outcome.</x:v>
      </x:c>
      <x:c r="N7" s="28" t="str">
        <x:v>EXAMPLE002 SDTM:P-402-SDTM-011</x:v>
      </x:c>
    </x:row>
    <x:row r="8" ht="62" customHeight="1">
      <x:c r="A8" s="28" t="inlineStr">
        <x:is>
          <x:t xml:space="preserve">P-005</x:t>
        </x:is>
      </x:c>
      <x:c r="B8" s="28" t="inlineStr">
        <x:is>
          <x:t xml:space="preserve">SOURCE_VALIDATION_ROOT</x:t>
        </x:is>
      </x:c>
      <x:c r="C8" s="28" t="inlineStr">
        <x:is>
          <x:t xml:space="preserve">Validation path root</x:t>
        </x:is>
      </x:c>
      <x:c r="D8" s="28" t="str">
        <x:v>/placeholder/linux/projects/EXAMPLE001/dev/data/adam/20260131_SYNTH/validation</x:v>
      </x:c>
      <x:c r="E8" s="28" t="inlineStr">
        <x:is>
          <x:t xml:space="preserve">&amp;targetStudy.\Dev\Data\ADaM\validation (commented)</x:t>
        </x:is>
      </x:c>
      <x:c r="F8" s="28" t="inlineStr">
        <x:is>
          <x:t xml:space="preserve">C-006</x:t>
        </x:is>
      </x:c>
      <x:c r="G8" s="28" t="str">
        <x:v>EXAMPLE001 ADaM</x:v>
      </x:c>
      <x:c r="H8" s="28" t="str">
        <x:v>EXAMPLE001 ADaM: adlb.sas</x:v>
      </x:c>
      <x:c r="I8" s="28" t="n">
        <x:v>1</x:v>
      </x:c>
      <x:c r="J8" s="28" t="n">
        <x:v>1</x:v>
      </x:c>
      <x:c r="K8" s="28" t="inlineStr">
        <x:is>
          <x:t xml:space="preserve">Study/Environment</x:t>
        </x:is>
      </x:c>
      <x:c r="L8" s="28" t="n"/>
      <x:c r="M8" s="28" t="str">
        <x:v>EXAMPLE001 ADaM: The after validation assignment is non-executable because the validation block is disabled.</x:v>
      </x:c>
      <x:c r="N8" s="28" t="str">
        <x:v>EXAMPLE001 ADaM:P-201-008</x:v>
      </x:c>
    </x:row>
    <x:row r="9" ht="62" customHeight="1">
      <x:c r="A9" s="28" t="inlineStr">
        <x:is>
          <x:t xml:space="preserve">P-006</x:t>
        </x:is>
      </x:c>
      <x:c r="B9" s="28" t="inlineStr">
        <x:is>
          <x:t xml:space="preserve">SOURCE_XPT_ROOT</x:t>
        </x:is>
      </x:c>
      <x:c r="C9" s="28" t="inlineStr">
        <x:is>
          <x:t xml:space="preserve">Path root</x:t>
        </x:is>
      </x:c>
      <x:c r="D9" s="28" t="inlineStr">
        <x:is>
          <x:t xml:space="preserve">../../../../data/adam/20260131_SYNTH/primary/</x:t>
        </x:is>
      </x:c>
      <x:c r="E9" s="28" t="inlineStr">
        <x:is>
          <x:t xml:space="preserve">&amp;targetStudy.\Dev\Data\ADAM\</x:t>
        </x:is>
      </x:c>
      <x:c r="F9" s="28" t="inlineStr">
        <x:is>
          <x:t xml:space="preserve">R-016</x:t>
        </x:is>
      </x:c>
      <x:c r="G9" s="28" t="str">
        <x:v>EXAMPLE001 ADaM</x:v>
      </x:c>
      <x:c r="H9" s="28" t="str">
        <x:v>EXAMPLE001 ADaM: adae.sas; EXAMPLE001 ADaM: adbase.sas; EXAMPLE001 ADaM: adpr.sas</x:v>
      </x:c>
      <x:c r="I9" s="28" t="n">
        <x:v>8</x:v>
      </x:c>
      <x:c r="J9" s="28" t="n">
        <x:v>8</x:v>
      </x:c>
      <x:c r="K9" s="28" t="inlineStr">
        <x:is>
          <x:t xml:space="preserve">Study/Environment</x:t>
        </x:is>
      </x:c>
      <x:c r="L9" s="28" t="n"/>
      <x:c r="M9" s="28" t="str">
        <x:v>EXAMPLE001 ADaM: The before root includes a hardcoded snapshot folder; the after root uses an SCE study macro.</x:v>
      </x:c>
      <x:c r="N9" s="28" t="str">
        <x:v>EXAMPLE001 ADaM:P-201-002</x:v>
      </x:c>
    </x:row>
    <x:row r="10" ht="62" customHeight="1">
      <x:c r="A10" s="28" t="inlineStr">
        <x:is>
          <x:t xml:space="preserve">P-007</x:t>
        </x:is>
      </x:c>
      <x:c r="B10" s="28" t="inlineStr">
        <x:is>
          <x:t xml:space="preserve">CHECK_LOG_PRINT_PATH</x:t>
        </x:is>
      </x:c>
      <x:c r="C10" s="28" t="inlineStr">
        <x:is>
          <x:t xml:space="preserve">Output path</x:t>
        </x:is>
      </x:c>
      <x:c r="D10" s="28" t="inlineStr">
        <x:is>
          <x:t xml:space="preserve">../../../../programs/tlf/20260131_SYNTH/primary/check_log_result_tlf.lst</x:t>
        </x:is>
      </x:c>
      <x:c r="E10" s="28" t="inlineStr">
        <x:is>
          <x:t xml:space="preserve">&amp;targetStudy.\Dev\Programs\ADaM\check_log_result_TLF.lst</x:t>
        </x:is>
      </x:c>
      <x:c r="F10" s="28" t="inlineStr">
        <x:is>
          <x:t xml:space="preserve">R-030</x:t>
        </x:is>
      </x:c>
      <x:c r="G10" s="28" t="str">
        <x:v>EXAMPLE001 TLF</x:v>
      </x:c>
      <x:c r="H10" s="28" t="str">
        <x:v>EXAMPLE001 TLF: chk_log.sas</x:v>
      </x:c>
      <x:c r="I10" s="28" t="n">
        <x:v>1</x:v>
      </x:c>
      <x:c r="J10" s="28" t="n">
        <x:v>1</x:v>
      </x:c>
      <x:c r="K10" s="28" t="inlineStr">
        <x:is>
          <x:t xml:space="preserve">Environment</x:t>
        </x:is>
      </x:c>
      <x:c r="L10" s="28" t="n"/>
      <x:c r="M10" s="28" t="str">
        <x:v>EXAMPLE001 TLF: Preserved exactly as observed, including the ADaM directory in the SCE target.</x:v>
      </x:c>
      <x:c r="N10" s="28" t="str">
        <x:v>EXAMPLE001 TLF:P-201-TLF-016</x:v>
      </x:c>
    </x:row>
    <x:row r="11" ht="62" customHeight="1">
      <x:c r="A11" s="28" t="inlineStr">
        <x:is>
          <x:t xml:space="preserve">P-008</x:t>
        </x:is>
      </x:c>
      <x:c r="B11" s="28" t="inlineStr">
        <x:is>
          <x:t xml:space="preserve">CHECK_LOG_SCAN_PATH</x:t>
        </x:is>
      </x:c>
      <x:c r="C11" s="28" t="inlineStr">
        <x:is>
          <x:t xml:space="preserve">Program root</x:t>
        </x:is>
      </x:c>
      <x:c r="D11" s="28" t="inlineStr">
        <x:is>
          <x:t xml:space="preserve">../../../../programs/tlf/20260131_SYNTH/primary</x:t>
        </x:is>
      </x:c>
      <x:c r="E11" s="28" t="inlineStr">
        <x:is>
          <x:t xml:space="preserve">&amp;targetStudy.\Dev\Programs\TLF</x:t>
        </x:is>
      </x:c>
      <x:c r="F11" s="28" t="inlineStr">
        <x:is>
          <x:t xml:space="preserve">R-030</x:t>
        </x:is>
      </x:c>
      <x:c r="G11" s="28" t="str">
        <x:v>EXAMPLE001 TLF</x:v>
      </x:c>
      <x:c r="H11" s="28" t="str">
        <x:v>EXAMPLE001 TLF: chk_log.sas</x:v>
      </x:c>
      <x:c r="I11" s="28" t="n">
        <x:v>1</x:v>
      </x:c>
      <x:c r="J11" s="28" t="n">
        <x:v>1</x:v>
      </x:c>
      <x:c r="K11" s="28" t="inlineStr">
        <x:is>
          <x:t xml:space="preserve">Environment</x:t>
        </x:is>
      </x:c>
      <x:c r="L11" s="28" t="n"/>
      <x:c r="M11" s="28" t="str">
        <x:v>EXAMPLE001 TLF: Directory scanned by %chk_log.</x:v>
      </x:c>
      <x:c r="N11" s="28" t="str">
        <x:v>EXAMPLE001 TLF:P-201-TLF-017</x:v>
      </x:c>
    </x:row>
    <x:row r="12" ht="62" customHeight="1">
      <x:c r="A12" s="28" t="inlineStr">
        <x:is>
          <x:t xml:space="preserve">P-009</x:t>
        </x:is>
      </x:c>
      <x:c r="B12" s="28" t="inlineStr">
        <x:is>
          <x:t xml:space="preserve">CLINICAL_SUBDIR</x:t>
        </x:is>
      </x:c>
      <x:c r="C12" s="28" t="inlineStr">
        <x:is>
          <x:t xml:space="preserve">Directory</x:t>
        </x:is>
      </x:c>
      <x:c r="D12" s="28" t="n"/>
      <x:c r="E12" s="28" t="inlineStr">
        <x:is>
          <x:t xml:space="preserve">Clinical</x:t>
        </x:is>
      </x:c>
      <x:c r="F12" s="28" t="inlineStr">
        <x:is>
          <x:t xml:space="preserve">R-010</x:t>
        </x:is>
      </x:c>
      <x:c r="G12" s="28" t="str">
        <x:v>EXAMPLE002 SDTM</x:v>
      </x:c>
      <x:c r="H12" s="28" t="str">
        <x:v>EXAMPLE002 SDTM: t900ae.sas; EXAMPLE002 SDTM: t900cm.sas; EXAMPLE002 SDTM: t900dm.sas</x:v>
      </x:c>
      <x:c r="I12" s="28" t="n">
        <x:v>14</x:v>
      </x:c>
      <x:c r="J12" s="28" t="n">
        <x:v>14</x:v>
      </x:c>
      <x:c r="K12" s="28" t="inlineStr">
        <x:is>
          <x:t xml:space="preserve">Global</x:t>
        </x:is>
      </x:c>
      <x:c r="L12" s="28" t="n"/>
      <x:c r="M12" s="28" t="str">
        <x:v>EXAMPLE002 SDTM: Subdirectory under TARGET_DATA_ROOT.</x:v>
      </x:c>
      <x:c r="N12" s="28" t="str">
        <x:v>EXAMPLE002 SDTM:P-402-SDTM-003</x:v>
      </x:c>
    </x:row>
    <x:row r="13" ht="62" customHeight="1">
      <x:c r="A13" s="28" t="inlineStr">
        <x:is>
          <x:t xml:space="preserve">P-010</x:t>
        </x:is>
      </x:c>
      <x:c r="B13" s="28" t="str">
        <x:v>VENDORLAB_LAB_DATASET</x:v>
      </x:c>
      <x:c r="C13" s="28" t="inlineStr">
        <x:is>
          <x:t xml:space="preserve">Dataset name</x:t>
        </x:is>
      </x:c>
      <x:c r="D13" s="28" t="inlineStr">
        <x:is>
          <x:t xml:space="preserve">&amp;cov_ext_dataset</x:t>
        </x:is>
      </x:c>
      <x:c r="E13" s="28" t="str">
        <x:v>Vendorlab_lab</x:v>
      </x:c>
      <x:c r="F13" s="28" t="inlineStr">
        <x:is>
          <x:t xml:space="preserve">R-025</x:t>
        </x:is>
      </x:c>
      <x:c r="G13" s="28" t="str">
        <x:v>EXAMPLE002 SDTM</x:v>
      </x:c>
      <x:c r="H13" s="28" t="str">
        <x:v>EXAMPLE002 SDTM: t900dm.sas; EXAMPLE002 SDTM: t900lb.sas; EXAMPLE002 SDTM: t900sv.sas</x:v>
      </x:c>
      <x:c r="I13" s="28" t="n">
        <x:v>3</x:v>
      </x:c>
      <x:c r="J13" s="28" t="n">
        <x:v>3</x:v>
      </x:c>
      <x:c r="K13" s="28" t="inlineStr">
        <x:is>
          <x:t xml:space="preserve">Study</x:t>
        </x:is>
      </x:c>
      <x:c r="L13" s="28" t="n"/>
      <x:c r="M13" s="28" t="str">
        <x:v>EXAMPLE002 SDTM: t900mb.sas is a conflict: comparable load is disabled rather than rerouted.</x:v>
      </x:c>
      <x:c r="N13" s="28" t="str">
        <x:v>EXAMPLE002 SDTM:P-402-SDTM-008</x:v>
      </x:c>
    </x:row>
    <x:row r="14" ht="62" customHeight="1">
      <x:c r="A14" s="28" t="inlineStr">
        <x:is>
          <x:t xml:space="preserve">P-011</x:t>
        </x:is>
      </x:c>
      <x:c r="B14" s="28" t="inlineStr">
        <x:is>
          <x:t xml:space="preserve">DATA_CUT_DATE</x:t>
        </x:is>
      </x:c>
      <x:c r="C14" s="28" t="inlineStr">
        <x:is>
          <x:t xml:space="preserve">Cut date</x:t>
        </x:is>
      </x:c>
      <x:c r="D14" s="28" t="inlineStr">
        <x:is>
          <x:t xml:space="preserve">2025-07-25</x:t>
        </x:is>
      </x:c>
      <x:c r="E14" s="28" t="inlineStr">
        <x:is>
          <x:t xml:space="preserve">2025-07-25</x:t>
        </x:is>
      </x:c>
      <x:c r="F14" s="28" t="inlineStr">
        <x:is>
          <x:t xml:space="preserve">C-005</x:t>
        </x:is>
      </x:c>
      <x:c r="G14" s="28" t="str">
        <x:v>EXAMPLE001 TLF</x:v>
      </x:c>
      <x:c r="H14" s="28" t="str">
        <x:v>EXAMPLE001 TLF: autoexec.sas</x:v>
      </x:c>
      <x:c r="I14" s="28" t="n">
        <x:v>2</x:v>
      </x:c>
      <x:c r="J14" s="28" t="n">
        <x:v>1</x:v>
      </x:c>
      <x:c r="K14" s="28" t="inlineStr">
        <x:is>
          <x:t xml:space="preserve">Study/cut</x:t>
        </x:is>
      </x:c>
      <x:c r="L14" s="28" t="n"/>
      <x:c r="M14" s="28" t="str">
        <x:v>EXAMPLE001 TLF: Used for CUTDATE and DATACUT.</x:v>
      </x:c>
      <x:c r="N14" s="28" t="str">
        <x:v>EXAMPLE001 TLF:P-201-TLF-015</x:v>
      </x:c>
    </x:row>
    <x:row r="15" ht="62" customHeight="1">
      <x:c r="A15" s="28" t="inlineStr">
        <x:is>
          <x:t xml:space="preserve">P-012</x:t>
        </x:is>
      </x:c>
      <x:c r="B15" s="28" t="inlineStr">
        <x:is>
          <x:t xml:space="preserve">DATA_SNAPSHOT</x:t>
        </x:is>
      </x:c>
      <x:c r="C15" s="28" t="inlineStr">
        <x:is>
          <x:t xml:space="preserve">Data-cut/snapshot identifier</x:t>
        </x:is>
      </x:c>
      <x:c r="D15" s="28" t="inlineStr">
        <x:is>
          <x:t xml:space="preserve">20260131_SYNTH</x:t>
        </x:is>
      </x:c>
      <x:c r="E15" s="28" t="inlineStr">
        <x:is>
          <x:t xml:space="preserve">[not present in active SCE XPT path]</x:t>
        </x:is>
      </x:c>
      <x:c r="F15" s="28" t="inlineStr">
        <x:is>
          <x:t xml:space="preserve">R-016; C-006</x:t>
        </x:is>
      </x:c>
      <x:c r="G15" s="28" t="str">
        <x:v>EXAMPLE001 ADaM</x:v>
      </x:c>
      <x:c r="H15" s="28" t="str">
        <x:v>EXAMPLE001 ADaM: adae.sas; EXAMPLE001 ADaM: adlb.sas; EXAMPLE001 ADaM: adpr.sas</x:v>
      </x:c>
      <x:c r="I15" s="28" t="n">
        <x:v>9</x:v>
      </x:c>
      <x:c r="J15" s="28" t="n">
        <x:v>8</x:v>
      </x:c>
      <x:c r="K15" s="28" t="inlineStr">
        <x:is>
          <x:t xml:space="preserve">Study</x:t>
        </x:is>
      </x:c>
      <x:c r="L15" s="28" t="n"/>
      <x:c r="M15" s="28" t="str">
        <x:v>EXAMPLE001 ADaM: This hardcoded snapshot segment disappears from the active SCE export path.</x:v>
      </x:c>
      <x:c r="N15" s="28" t="str">
        <x:v>EXAMPLE001 ADaM:P-201-003</x:v>
      </x:c>
    </x:row>
    <x:row r="16" ht="62" customHeight="1">
      <x:c r="A16" s="28" t="inlineStr">
        <x:is>
          <x:t xml:space="preserve">P-013</x:t>
        </x:is>
      </x:c>
      <x:c r="B16" s="28" t="inlineStr">
        <x:is>
          <x:t xml:space="preserve">DV_WORKBOOK</x:t>
        </x:is>
      </x:c>
      <x:c r="C16" s="28" t="inlineStr">
        <x:is>
          <x:t xml:space="preserve">Filename</x:t>
        </x:is>
      </x:c>
      <x:c r="D16" s="28" t="inlineStr">
        <x:is>
          <x:t xml:space="preserve">&amp;dev_ext_dataset.</x:t>
        </x:is>
      </x:c>
      <x:c r="E16" s="28" t="str">
        <x:v>EXAMPLE002_VendorTransfer_v1.0_Protocol_Deviations.xlsx</x:v>
      </x:c>
      <x:c r="F16" s="28" t="inlineStr">
        <x:is>
          <x:t xml:space="preserve">R-017</x:t>
        </x:is>
      </x:c>
      <x:c r="G16" s="28" t="str">
        <x:v>EXAMPLE002 SDTM</x:v>
      </x:c>
      <x:c r="H16" s="28" t="str">
        <x:v>EXAMPLE002 SDTM: t900dv.sas</x:v>
      </x:c>
      <x:c r="I16" s="28" t="n">
        <x:v>1</x:v>
      </x:c>
      <x:c r="J16" s="28" t="n">
        <x:v>1</x:v>
      </x:c>
      <x:c r="K16" s="28" t="inlineStr">
        <x:is>
          <x:t xml:space="preserve">Study</x:t>
        </x:is>
      </x:c>
      <x:c r="L16" s="28" t="n"/>
      <x:c r="M16" s="28" t="str">
        <x:v>EXAMPLE002 SDTM: Study/date-specific literal must be externalized.</x:v>
      </x:c>
      <x:c r="N16" s="28" t="str">
        <x:v>EXAMPLE002 SDTM:P-402-SDTM-012</x:v>
      </x:c>
    </x:row>
    <x:row r="17" ht="62" customHeight="1">
      <x:c r="A17" s="28" t="inlineStr">
        <x:is>
          <x:t xml:space="preserve">P-014</x:t>
        </x:is>
      </x:c>
      <x:c r="B17" s="28" t="inlineStr">
        <x:is>
          <x:t xml:space="preserve">EXTERNAL_DATA_SUBDIR</x:t>
        </x:is>
      </x:c>
      <x:c r="C17" s="28" t="inlineStr">
        <x:is>
          <x:t xml:space="preserve">Directory</x:t>
        </x:is>
      </x:c>
      <x:c r="D17" s="28" t="inlineStr">
        <x:is>
          <x:t xml:space="preserve">rawdata / flat-file paths</x:t>
        </x:is>
      </x:c>
      <x:c r="E17" s="28" t="inlineStr">
        <x:is>
          <x:t xml:space="preserve">External Data</x:t>
        </x:is>
      </x:c>
      <x:c r="F17" s="28" t="inlineStr">
        <x:is>
          <x:t xml:space="preserve">R-010; R-019; R-027; R-025; R-033; R-032; R-031; R-023</x:t>
        </x:is>
      </x:c>
      <x:c r="G17" s="28" t="str">
        <x:v>EXAMPLE002 SDTM</x:v>
      </x:c>
      <x:c r="H17" s="28" t="str">
        <x:v>EXAMPLE002 SDTM: t900dm.sas; EXAMPLE002 SDTM: t900lb.sas; EXAMPLE002 SDTM: t900sv.sas</x:v>
      </x:c>
      <x:c r="I17" s="28" t="n">
        <x:v>14</x:v>
      </x:c>
      <x:c r="J17" s="28" t="n">
        <x:v>14</x:v>
      </x:c>
      <x:c r="K17" s="28" t="inlineStr">
        <x:is>
          <x:t xml:space="preserve">Global</x:t>
        </x:is>
      </x:c>
      <x:c r="L17" s="28" t="n"/>
      <x:c r="M17" s="28" t="str">
        <x:v>EXAMPLE002 SDTM: SCE external-data layer; individual dataset names remain separately parameterized.</x:v>
      </x:c>
      <x:c r="N17" s="28" t="str">
        <x:v>EXAMPLE002 SDTM:P-402-SDTM-005</x:v>
      </x:c>
    </x:row>
    <x:row r="18" ht="62" customHeight="1">
      <x:c r="A18" s="28" t="inlineStr">
        <x:is>
          <x:t xml:space="preserve">P-015</x:t>
        </x:is>
      </x:c>
      <x:c r="B18" s="28" t="str">
        <x:v>VENDORLABB_LAB_DATASET</x:v>
      </x:c>
      <x:c r="C18" s="28" t="inlineStr">
        <x:is>
          <x:t xml:space="preserve">Dataset name</x:t>
        </x:is>
      </x:c>
      <x:c r="D18" s="28" t="inlineStr">
        <x:is>
          <x:t xml:space="preserve">&amp;ico_ext_dataset</x:t>
        </x:is>
      </x:c>
      <x:c r="E18" s="28" t="str">
        <x:v>VendorLabB_lab</x:v>
      </x:c>
      <x:c r="F18" s="28" t="inlineStr">
        <x:is>
          <x:t xml:space="preserve">R-033</x:t>
        </x:is>
      </x:c>
      <x:c r="G18" s="28" t="str">
        <x:v>EXAMPLE002 SDTM</x:v>
      </x:c>
      <x:c r="H18" s="28" t="str">
        <x:v>EXAMPLE002 SDTM: t900lb.sas; EXAMPLE002 SDTM: t900sv.sas</x:v>
      </x:c>
      <x:c r="I18" s="28" t="n">
        <x:v>2</x:v>
      </x:c>
      <x:c r="J18" s="28" t="n">
        <x:v>2</x:v>
      </x:c>
      <x:c r="K18" s="28" t="inlineStr">
        <x:is>
          <x:t xml:space="preserve">Study</x:t>
        </x:is>
      </x:c>
      <x:c r="L18" s="28" t="n"/>
      <x:c r="M18" s="28" t="str">
        <x:v>EXAMPLE002 SDTM: External laboratory dataset mapping.</x:v>
      </x:c>
      <x:c r="N18" s="28" t="str">
        <x:v>EXAMPLE002 SDTM:P-402-SDTM-009</x:v>
      </x:c>
    </x:row>
    <x:row r="19" ht="62" customHeight="1">
      <x:c r="A19" s="28" t="inlineStr">
        <x:is>
          <x:t xml:space="preserve">P-016</x:t>
        </x:is>
      </x:c>
      <x:c r="B19" s="28" t="inlineStr">
        <x:is>
          <x:t xml:space="preserve">ILD_DATASET</x:t>
        </x:is>
      </x:c>
      <x:c r="C19" s="28" t="inlineStr">
        <x:is>
          <x:t xml:space="preserve">Dataset name</x:t>
        </x:is>
      </x:c>
      <x:c r="D19" s="28" t="inlineStr">
        <x:is>
          <x:t xml:space="preserve">&amp;ild_ext_dataset..csv</x:t>
        </x:is>
      </x:c>
      <x:c r="E19" s="28" t="str">
        <x:v>Vendorimaginga_ild / Vendorimagingb_ild</x:v>
      </x:c>
      <x:c r="F19" s="28" t="inlineStr">
        <x:is>
          <x:t xml:space="preserve">R-032</x:t>
        </x:is>
      </x:c>
      <x:c r="G19" s="28" t="str">
        <x:v>EXAMPLE002 SDTM</x:v>
      </x:c>
      <x:c r="H19" s="28" t="str">
        <x:v>EXAMPLE002 SDTM: t900ae.sas; EXAMPLE002 SDTM: t900dd.sas</x:v>
      </x:c>
      <x:c r="I19" s="28" t="n">
        <x:v>2</x:v>
      </x:c>
      <x:c r="J19" s="28" t="n">
        <x:v>2</x:v>
      </x:c>
      <x:c r="K19" s="28" t="inlineStr">
        <x:is>
          <x:t xml:space="preserve">Program</x:t>
        </x:is>
      </x:c>
      <x:c r="L19" s="28" t="n"/>
      <x:c r="M19" s="28" t="str">
        <x:v>EXAMPLE002 SDTM: Conflicted mapping; must not be a single hardcoded replacement.</x:v>
      </x:c>
      <x:c r="N19" s="28" t="str">
        <x:v>EXAMPLE002 SDTM:P-402-SDTM-010</x:v>
      </x:c>
    </x:row>
    <x:row r="20" ht="62" customHeight="1">
      <x:c r="A20" s="28" t="inlineStr">
        <x:is>
          <x:t xml:space="preserve">P-017</x:t>
        </x:is>
      </x:c>
      <x:c r="B20" s="28" t="inlineStr">
        <x:is>
          <x:t xml:space="preserve">LB_TEST_WORKBOOK</x:t>
        </x:is>
      </x:c>
      <x:c r="C20" s="28" t="inlineStr">
        <x:is>
          <x:t xml:space="preserve">Filename</x:t>
        </x:is>
      </x:c>
      <x:c r="D20" s="28" t="inlineStr">
        <x:is>
          <x:t xml:space="preserve">&amp;lbtestfile.</x:t>
        </x:is>
      </x:c>
      <x:c r="E20" s="28" t="inlineStr">
        <x:is>
          <x:t xml:space="preserve">lbtest.xls</x:t>
        </x:is>
      </x:c>
      <x:c r="F20" s="28" t="inlineStr">
        <x:is>
          <x:t xml:space="preserve">R-017</x:t>
        </x:is>
      </x:c>
      <x:c r="G20" s="28" t="str">
        <x:v>EXAMPLE002 SDTM</x:v>
      </x:c>
      <x:c r="H20" s="28" t="str">
        <x:v>EXAMPLE002 SDTM: t900lb.sas</x:v>
      </x:c>
      <x:c r="I20" s="28" t="n">
        <x:v>1</x:v>
      </x:c>
      <x:c r="J20" s="28" t="n">
        <x:v>1</x:v>
      </x:c>
      <x:c r="K20" s="28" t="inlineStr">
        <x:is>
          <x:t xml:space="preserve">Study</x:t>
        </x:is>
      </x:c>
      <x:c r="L20" s="28" t="n"/>
      <x:c r="M20" s="28" t="str">
        <x:v>EXAMPLE002 SDTM: Also changes DBMS from XLSX to XLS.</x:v>
      </x:c>
      <x:c r="N20" s="28" t="str">
        <x:v>EXAMPLE002 SDTM:P-402-SDTM-013</x:v>
      </x:c>
    </x:row>
    <x:row r="21" ht="62" customHeight="1">
      <x:c r="A21" s="28" t="inlineStr">
        <x:is>
          <x:t xml:space="preserve">P-018</x:t>
        </x:is>
      </x:c>
      <x:c r="B21" s="28" t="inlineStr">
        <x:is>
          <x:t xml:space="preserve">LEGACY_ADAM_ROOT</x:t>
        </x:is>
      </x:c>
      <x:c r="C21" s="28" t="inlineStr">
        <x:is>
          <x:t xml:space="preserve">Data root</x:t>
        </x:is>
      </x:c>
      <x:c r="D21" s="28" t="inlineStr">
        <x:is>
          <x:t xml:space="preserve">../../../../data/adam/20260131_SYNTH/primary</x:t>
        </x:is>
      </x:c>
      <x:c r="E21" s="28" t="n"/>
      <x:c r="F21" s="28" t="inlineStr">
        <x:is>
          <x:t xml:space="preserve">R-010</x:t>
        </x:is>
      </x:c>
      <x:c r="G21" s="28" t="str">
        <x:v>EXAMPLE001 TLF</x:v>
      </x:c>
      <x:c r="H21" s="28" t="str">
        <x:v>EXAMPLE001 TLF: autoexec.sas</x:v>
      </x:c>
      <x:c r="I21" s="28" t="n">
        <x:v>1</x:v>
      </x:c>
      <x:c r="J21" s="28" t="n">
        <x:v>1</x:v>
      </x:c>
      <x:c r="K21" s="28" t="inlineStr">
        <x:is>
          <x:t xml:space="preserve">Study/cut</x:t>
        </x:is>
      </x:c>
      <x:c r="L21" s="28" t="n"/>
      <x:c r="M21" s="28" t="str">
        <x:v>EXAMPLE001 TLF: Legacy PADAM physical location.</x:v>
      </x:c>
      <x:c r="N21" s="28" t="str">
        <x:v>EXAMPLE001 TLF:P-201-TLF-007</x:v>
      </x:c>
    </x:row>
    <x:row r="22" ht="62" customHeight="1">
      <x:c r="A22" s="28" t="inlineStr">
        <x:is>
          <x:t xml:space="preserve">P-019</x:t>
        </x:is>
      </x:c>
      <x:c r="B22" s="28" t="inlineStr">
        <x:is>
          <x:t xml:space="preserve">LEGACY_CLINICAL_ROOT</x:t>
        </x:is>
      </x:c>
      <x:c r="C22" s="28" t="inlineStr">
        <x:is>
          <x:t xml:space="preserve">CDR data root</x:t>
        </x:is>
      </x:c>
      <x:c r="D22" s="28" t="str">
        <x:v>/placeholder/cdrdata/EXAMPLE001/prod/data/edc/20260131_SYNTH</x:v>
      </x:c>
      <x:c r="E22" s="28" t="inlineStr">
        <x:is>
          <x:t xml:space="preserve">&amp;targetData\Clinical</x:t>
        </x:is>
      </x:c>
      <x:c r="F22" s="28" t="inlineStr">
        <x:is>
          <x:t xml:space="preserve">R-010</x:t>
        </x:is>
      </x:c>
      <x:c r="G22" s="28" t="str">
        <x:v>EXAMPLE001 SDTM</x:v>
      </x:c>
      <x:c r="H22" s="28" t="str">
        <x:v>EXAMPLE001 SDTM: autoexec.sas</x:v>
      </x:c>
      <x:c r="I22" s="28" t="n">
        <x:v>2</x:v>
      </x:c>
      <x:c r="J22" s="28" t="n">
        <x:v>1</x:v>
      </x:c>
      <x:c r="K22" s="28" t="inlineStr">
        <x:is>
          <x:t xml:space="preserve">Study/Data cut</x:t>
        </x:is>
      </x:c>
      <x:c r="L22" s="28" t="n"/>
      <x:c r="M22" s="28" t="str">
        <x:v>EXAMPLE001 SDTM: SOURCE and RAW share this before-to-after mapping.</x:v>
      </x:c>
      <x:c r="N22" s="28" t="str">
        <x:v>EXAMPLE001 SDTM:P-201-SDTM-005</x:v>
      </x:c>
    </x:row>
    <x:row r="23" ht="62" customHeight="1">
      <x:c r="A23" s="28" t="inlineStr">
        <x:is>
          <x:t xml:space="preserve">P-020</x:t>
        </x:is>
      </x:c>
      <x:c r="B23" s="28" t="inlineStr">
        <x:is>
          <x:t xml:space="preserve">LEGACY_DATACUT_FOLDER</x:t>
        </x:is>
      </x:c>
      <x:c r="C23" s="28" t="inlineStr">
        <x:is>
          <x:t xml:space="preserve">Data-cut folder</x:t>
        </x:is>
      </x:c>
      <x:c r="D23" s="28" t="inlineStr">
        <x:is>
          <x:t xml:space="preserve">20260131_SYNTH</x:t>
        </x:is>
      </x:c>
      <x:c r="E23" s="28" t="n"/>
      <x:c r="F23" s="28" t="inlineStr">
        <x:is>
          <x:t xml:space="preserve">R-005; R-010; C-009; C-008; R-017</x:t>
        </x:is>
      </x:c>
      <x:c r="G23" s="28" t="str">
        <x:v>EXAMPLE001 SDTM</x:v>
      </x:c>
      <x:c r="H23" s="28" t="str">
        <x:v>EXAMPLE001 SDTM: ae.sas; EXAMPLE001 SDTM: autoexec.sas</x:v>
      </x:c>
      <x:c r="I23" s="28" t="n">
        <x:v>0</x:v>
      </x:c>
      <x:c r="J23" s="28" t="n">
        <x:v>0</x:v>
      </x:c>
      <x:c r="K23" s="28" t="inlineStr">
        <x:is>
          <x:t xml:space="preserve">Study/Data cut</x:t>
        </x:is>
      </x:c>
      <x:c r="L23" s="28" t="inlineStr">
        <x:is>
          <x:t xml:space="preserve">Multiple</x:t>
        </x:is>
      </x:c>
      <x:c r="M23" s="28" t="str">
        <x:v>EXAMPLE001 SDTM: Appears in the legacy relative program/data paths and should not be hardcoded for another migration batch.</x:v>
      </x:c>
      <x:c r="N23" s="28" t="str">
        <x:v>EXAMPLE001 SDTM:P-201-SDTM-002</x:v>
      </x:c>
    </x:row>
    <x:row r="24" ht="62" customHeight="1">
      <x:c r="A24" s="28" t="inlineStr">
        <x:is>
          <x:t xml:space="preserve">P-021</x:t>
        </x:is>
      </x:c>
      <x:c r="B24" s="28" t="inlineStr">
        <x:is>
          <x:t xml:space="preserve">LEGACY_RAWDATA_ROOT</x:t>
        </x:is>
      </x:c>
      <x:c r="C24" s="28" t="inlineStr">
        <x:is>
          <x:t xml:space="preserve">Path root</x:t>
        </x:is>
      </x:c>
      <x:c r="D24" s="28" t="inlineStr">
        <x:is>
          <x:t xml:space="preserve">//placeholder/sasdata/projects/&amp;client/&amp;projectect/&amp;study/final/rawdata/</x:t>
        </x:is>
      </x:c>
      <x:c r="E24" s="28" t="n"/>
      <x:c r="F24" s="28" t="inlineStr">
        <x:is>
          <x:t xml:space="preserve">R-017</x:t>
        </x:is>
      </x:c>
      <x:c r="G24" s="28" t="str">
        <x:v>EXAMPLE002 ADaM</x:v>
      </x:c>
      <x:c r="H24" s="28" t="str">
        <x:v>EXAMPLE002 ADaM: u900adcm.sas; EXAMPLE002 ADaM: u900adsl.sas</x:v>
      </x:c>
      <x:c r="I24" s="28" t="n">
        <x:v>4</x:v>
      </x:c>
      <x:c r="J24" s="28" t="n">
        <x:v>2</x:v>
      </x:c>
      <x:c r="K24" s="28" t="inlineStr">
        <x:is>
          <x:t xml:space="preserve">Environment</x:t>
        </x:is>
      </x:c>
      <x:c r="L24" s="28" t="n"/>
      <x:c r="M24" s="28" t="str">
        <x:v>EXAMPLE002 ADaM: Legacy CDR document/rawdata root replaced in executable PROC IMPORT statements.</x:v>
      </x:c>
      <x:c r="N24" s="28" t="str">
        <x:v>EXAMPLE002 ADaM:P-402-ADAM-004</x:v>
      </x:c>
    </x:row>
    <x:row r="25" ht="62" customHeight="1">
      <x:c r="A25" s="28" t="inlineStr">
        <x:is>
          <x:t xml:space="preserve">P-022</x:t>
        </x:is>
      </x:c>
      <x:c r="B25" s="28" t="inlineStr">
        <x:is>
          <x:t xml:space="preserve">LEGACY_RAW_ROOT</x:t>
        </x:is>
      </x:c>
      <x:c r="C25" s="28" t="inlineStr">
        <x:is>
          <x:t xml:space="preserve">Data root</x:t>
        </x:is>
      </x:c>
      <x:c r="D25" s="28" t="str">
        <x:v>/placeholder/cdrdata/EXAMPLE001/prod/data/edc/20260131_SYNTH</x:v>
      </x:c>
      <x:c r="E25" s="28" t="n"/>
      <x:c r="F25" s="28" t="inlineStr">
        <x:is>
          <x:t xml:space="preserve">R-010</x:t>
        </x:is>
      </x:c>
      <x:c r="G25" s="28" t="str">
        <x:v>EXAMPLE001 TLF</x:v>
      </x:c>
      <x:c r="H25" s="28" t="str">
        <x:v>EXAMPLE001 TLF: autoexec.sas</x:v>
      </x:c>
      <x:c r="I25" s="28" t="n">
        <x:v>1</x:v>
      </x:c>
      <x:c r="J25" s="28" t="n">
        <x:v>1</x:v>
      </x:c>
      <x:c r="K25" s="28" t="inlineStr">
        <x:is>
          <x:t xml:space="preserve">Study/cut</x:t>
        </x:is>
      </x:c>
      <x:c r="L25" s="28" t="n"/>
      <x:c r="M25" s="28" t="str">
        <x:v>EXAMPLE001 TLF: Legacy RAW physical location.</x:v>
      </x:c>
      <x:c r="N25" s="28" t="str">
        <x:v>EXAMPLE001 TLF:P-201-TLF-008</x:v>
      </x:c>
    </x:row>
    <x:row r="26" ht="62" customHeight="1">
      <x:c r="A26" s="28" t="inlineStr">
        <x:is>
          <x:t xml:space="preserve">P-023</x:t>
        </x:is>
      </x:c>
      <x:c r="B26" s="28" t="inlineStr">
        <x:is>
          <x:t xml:space="preserve">LEGACY_SDTM_AUTOEXEC</x:t>
        </x:is>
      </x:c>
      <x:c r="C26" s="28" t="inlineStr">
        <x:is>
          <x:t xml:space="preserve">Relative program path</x:t>
        </x:is>
      </x:c>
      <x:c r="D26" s="28" t="inlineStr">
        <x:is>
          <x:t xml:space="preserve">../../../../programs/sdtm/20260131_SYNTH/primary/autoexec.sas</x:t>
        </x:is>
      </x:c>
      <x:c r="E26" s="28" t="inlineStr">
        <x:is>
          <x:t xml:space="preserve">&amp;targetStudy.\Dev\Programs\SDTM\autoexec.sas</x:t>
        </x:is>
      </x:c>
      <x:c r="F26" s="28" t="inlineStr">
        <x:is>
          <x:t xml:space="preserve">R-005</x:t>
        </x:is>
      </x:c>
      <x:c r="G26" s="28" t="str">
        <x:v>EXAMPLE001 SDTM</x:v>
      </x:c>
      <x:c r="H26" s="28" t="str">
        <x:v>EXAMPLE001 SDTM: ae.sas; EXAMPLE001 SDTM: ce.sas; EXAMPLE001 SDTM: cm.sas</x:v>
      </x:c>
      <x:c r="I26" s="28" t="n">
        <x:v>34</x:v>
      </x:c>
      <x:c r="J26" s="28" t="n">
        <x:v>34</x:v>
      </x:c>
      <x:c r="K26" s="28" t="inlineStr">
        <x:is>
          <x:t xml:space="preserve">Study/Data cut</x:t>
        </x:is>
      </x:c>
      <x:c r="L26" s="28" t="n"/>
      <x:c r="M26" s="28" t="str">
        <x:v>EXAMPLE001 SDTM: Rule has an observed exception: relrec.sas keeps the legacy active include.</x:v>
      </x:c>
      <x:c r="N26" s="28" t="str">
        <x:v>EXAMPLE001 SDTM:P-201-SDTM-007</x:v>
      </x:c>
    </x:row>
    <x:row r="27" ht="62" customHeight="1">
      <x:c r="A27" s="28" t="inlineStr">
        <x:is>
          <x:t xml:space="preserve">P-024</x:t>
        </x:is>
      </x:c>
      <x:c r="B27" s="28" t="inlineStr">
        <x:is>
          <x:t xml:space="preserve">LEGACY_SDTM_PRIMARY_ROOT</x:t>
        </x:is>
      </x:c>
      <x:c r="C27" s="28" t="inlineStr">
        <x:is>
          <x:t xml:space="preserve">Relative SDTM data root</x:t>
        </x:is>
      </x:c>
      <x:c r="D27" s="28" t="inlineStr">
        <x:is>
          <x:t xml:space="preserve">../../../../data/sdtm/20260131_SYNTH/primary</x:t>
        </x:is>
      </x:c>
      <x:c r="E27" s="28" t="inlineStr">
        <x:is>
          <x:t xml:space="preserve">&amp;targetData\SDTM</x:t>
        </x:is>
      </x:c>
      <x:c r="F27" s="28" t="inlineStr">
        <x:is>
          <x:t xml:space="preserve">R-010</x:t>
        </x:is>
      </x:c>
      <x:c r="G27" s="28" t="str">
        <x:v>EXAMPLE001 SDTM</x:v>
      </x:c>
      <x:c r="H27" s="28" t="str">
        <x:v>EXAMPLE001 SDTM: autoexec.sas</x:v>
      </x:c>
      <x:c r="I27" s="28" t="n">
        <x:v>3</x:v>
      </x:c>
      <x:c r="J27" s="28" t="n">
        <x:v>1</x:v>
      </x:c>
      <x:c r="K27" s="28" t="inlineStr">
        <x:is>
          <x:t xml:space="preserve">Study/Data cut</x:t>
        </x:is>
      </x:c>
      <x:c r="L27" s="28" t="n"/>
      <x:c r="M27" s="28" t="str">
        <x:v>EXAMPLE001 SDTM: Same legacy primary-data root appears in several different assignment syntaxes.</x:v>
      </x:c>
      <x:c r="N27" s="28" t="str">
        <x:v>EXAMPLE001 SDTM:P-201-SDTM-006</x:v>
      </x:c>
    </x:row>
    <x:row r="28" ht="62" customHeight="1">
      <x:c r="A28" s="28" t="inlineStr">
        <x:is>
          <x:t xml:space="preserve">P-025</x:t>
        </x:is>
      </x:c>
      <x:c r="B28" s="28" t="inlineStr">
        <x:is>
          <x:t xml:space="preserve">LEGACY_TLF_AUTOEXEC</x:t>
        </x:is>
      </x:c>
      <x:c r="C28" s="28" t="inlineStr">
        <x:is>
          <x:t xml:space="preserve">Legacy autoexec path</x:t>
        </x:is>
      </x:c>
      <x:c r="D28" s="28" t="inlineStr">
        <x:is>
          <x:t xml:space="preserve">../../../../programs/tlf/20260131_SYNTH/primary/autoexec.sas</x:t>
        </x:is>
      </x:c>
      <x:c r="E28" s="28" t="n"/>
      <x:c r="F28" s="28" t="inlineStr">
        <x:is>
          <x:t xml:space="preserve">R-011</x:t>
        </x:is>
      </x:c>
      <x:c r="G28" s="28" t="str">
        <x:v>EXAMPLE001 TLF</x:v>
      </x:c>
      <x:c r="H28" s="28" t="str">
        <x:v>EXAMPLE001 TLF: l-ae.sas; EXAMPLE001 TLF: t-dm-fas.sas</x:v>
      </x:c>
      <x:c r="I28" s="28" t="n">
        <x:v>20</x:v>
      </x:c>
      <x:c r="J28" s="28" t="n">
        <x:v>20</x:v>
      </x:c>
      <x:c r="K28" s="28" t="inlineStr">
        <x:is>
          <x:t xml:space="preserve">Study/cut</x:t>
        </x:is>
      </x:c>
      <x:c r="L28" s="28" t="n"/>
      <x:c r="M28" s="28" t="str">
        <x:v>EXAMPLE001 TLF: Active in 20 CDR programs; SCE retains commented copies in most paired programs.</x:v>
      </x:c>
      <x:c r="N28" s="28" t="str">
        <x:v>EXAMPLE001 TLF:P-201-TLF-001</x:v>
      </x:c>
    </x:row>
    <x:row r="29" ht="62" customHeight="1">
      <x:c r="A29" s="28" t="inlineStr">
        <x:is>
          <x:t xml:space="preserve">P-026</x:t>
        </x:is>
      </x:c>
      <x:c r="B29" s="28" t="inlineStr">
        <x:is>
          <x:t xml:space="preserve">LEGACY_TLF_MACRO_ROOT</x:t>
        </x:is>
      </x:c>
      <x:c r="C29" s="28" t="inlineStr">
        <x:is>
          <x:t xml:space="preserve">Macro root</x:t>
        </x:is>
      </x:c>
      <x:c r="D29" s="28" t="inlineStr">
        <x:is>
          <x:t xml:space="preserve">../../../../programs/tlf/20260131_SYNTH/primary/macros</x:t>
        </x:is>
      </x:c>
      <x:c r="E29" s="28" t="n"/>
      <x:c r="F29" s="28" t="inlineStr">
        <x:is>
          <x:t xml:space="preserve">C-011; C-007</x:t>
        </x:is>
      </x:c>
      <x:c r="G29" s="28" t="str">
        <x:v>EXAMPLE001 TLF</x:v>
      </x:c>
      <x:c r="H29" s="28" t="str">
        <x:v>EXAMPLE001 TLF: autoexec.sas</x:v>
      </x:c>
      <x:c r="I29" s="28" t="n">
        <x:v>2</x:v>
      </x:c>
      <x:c r="J29" s="28" t="n">
        <x:v>1</x:v>
      </x:c>
      <x:c r="K29" s="28" t="inlineStr">
        <x:is>
          <x:t xml:space="preserve">Study/cut</x:t>
        </x:is>
      </x:c>
      <x:c r="L29" s="28" t="n"/>
      <x:c r="M29" s="28" t="str">
        <x:v>EXAMPLE001 TLF: Legacy macro directory.</x:v>
      </x:c>
      <x:c r="N29" s="28" t="str">
        <x:v>EXAMPLE001 TLF:P-201-TLF-005</x:v>
      </x:c>
    </x:row>
    <x:row r="30" ht="62" customHeight="1">
      <x:c r="A30" s="28" t="inlineStr">
        <x:is>
          <x:t xml:space="preserve">P-027</x:t>
        </x:is>
      </x:c>
      <x:c r="B30" s="28" t="inlineStr">
        <x:is>
          <x:t xml:space="preserve">LEGACY_TLF_OUTPUT_ROOT</x:t>
        </x:is>
      </x:c>
      <x:c r="C30" s="28" t="inlineStr">
        <x:is>
          <x:t xml:space="preserve">Output root</x:t>
        </x:is>
      </x:c>
      <x:c r="D30" s="28" t="inlineStr">
        <x:is>
          <x:t xml:space="preserve">../../../../output/tlf/20260131_SYNTH/primary</x:t>
        </x:is>
      </x:c>
      <x:c r="E30" s="28" t="n"/>
      <x:c r="F30" s="28" t="inlineStr">
        <x:is>
          <x:t xml:space="preserve">C-012</x:t>
        </x:is>
      </x:c>
      <x:c r="G30" s="28" t="str">
        <x:v>EXAMPLE001 TLF</x:v>
      </x:c>
      <x:c r="H30" s="28" t="str">
        <x:v>EXAMPLE001 TLF: autoexec.sas</x:v>
      </x:c>
      <x:c r="I30" s="28" t="n">
        <x:v>2</x:v>
      </x:c>
      <x:c r="J30" s="28" t="n">
        <x:v>1</x:v>
      </x:c>
      <x:c r="K30" s="28" t="inlineStr">
        <x:is>
          <x:t xml:space="preserve">Study/cut</x:t>
        </x:is>
      </x:c>
      <x:c r="L30" s="28" t="n"/>
      <x:c r="M30" s="28" t="str">
        <x:v>EXAMPLE001 TLF: Legacy TLF output directory used by _output and OUT.</x:v>
      </x:c>
      <x:c r="N30" s="28" t="str">
        <x:v>EXAMPLE001 TLF:P-201-TLF-012</x:v>
      </x:c>
    </x:row>
    <x:row r="31" ht="62" customHeight="1">
      <x:c r="A31" s="28" t="inlineStr">
        <x:is>
          <x:t xml:space="preserve">P-028</x:t>
        </x:is>
      </x:c>
      <x:c r="B31" s="28" t="str">
        <x:v>VENDORPK_DATASET_MAP</x:v>
      </x:c>
      <x:c r="C31" s="28" t="inlineStr">
        <x:is>
          <x:t xml:space="preserve">Dataset mapping</x:t>
        </x:is>
      </x:c>
      <x:c r="D31" s="28" t="inlineStr">
        <x:is>
          <x:t xml:space="preserve">&amp;payload_ext_dataset / &amp;intact_ext_dataset / &amp;total_ext_dataset / &amp;haha_ext_dataset / &amp;nab_ext_dataset</x:t>
        </x:is>
      </x:c>
      <x:c r="E31" s="28" t="str">
        <x:v>ext.vendorpk_pk_payload / ext.vendorpk_pk_intact / ext.vendorpk_pk_total / Ext.Vendorpk_haha / Ext.Vendorpk_nab_final</x:v>
      </x:c>
      <x:c r="F31" s="28" t="inlineStr">
        <x:is>
          <x:t xml:space="preserve">R-023</x:t>
        </x:is>
      </x:c>
      <x:c r="G31" s="28" t="str">
        <x:v>EXAMPLE002 SDTM</x:v>
      </x:c>
      <x:c r="H31" s="28" t="str">
        <x:v>EXAMPLE002 SDTM: t900pc.sas; EXAMPLE002 SDTM: t900is.sas; EXAMPLE002 SDTM: t900sv.sas</x:v>
      </x:c>
      <x:c r="I31" s="28" t="n">
        <x:v>4</x:v>
      </x:c>
      <x:c r="J31" s="28" t="n">
        <x:v>3</x:v>
      </x:c>
      <x:c r="K31" s="28" t="inlineStr">
        <x:is>
          <x:t xml:space="preserve">Study</x:t>
        </x:is>
      </x:c>
      <x:c r="L31" s="28" t="n"/>
      <x:c r="M31" s="28" t="str">
        <x:v>EXAMPLE002 SDTM: Implementation differs by program; keep as a mapping table rather than one baked-in replacement.</x:v>
      </x:c>
      <x:c r="N31" s="28" t="str">
        <x:v>EXAMPLE002 SDTM:P-402-SDTM-014</x:v>
      </x:c>
    </x:row>
    <x:row r="32" ht="62" customHeight="1">
      <x:c r="A32" s="28" t="inlineStr">
        <x:is>
          <x:t xml:space="preserve">P-029</x:t>
        </x:is>
      </x:c>
      <x:c r="B32" s="28" t="inlineStr">
        <x:is>
          <x:t xml:space="preserve">RESCREEN_DATASET</x:t>
        </x:is>
      </x:c>
      <x:c r="C32" s="28" t="inlineStr">
        <x:is>
          <x:t xml:space="preserve">Dataset name</x:t>
        </x:is>
      </x:c>
      <x:c r="D32" s="28" t="inlineStr">
        <x:is>
          <x:t xml:space="preserve">&amp;rescreen. workbook import</x:t>
        </x:is>
      </x:c>
      <x:c r="E32" s="28" t="inlineStr">
        <x:is>
          <x:t xml:space="preserve">Ext.rescreen</x:t>
        </x:is>
      </x:c>
      <x:c r="F32" s="28" t="inlineStr">
        <x:is>
          <x:t xml:space="preserve">R-019</x:t>
        </x:is>
      </x:c>
      <x:c r="G32" s="28" t="str">
        <x:v>EXAMPLE002 SDTM</x:v>
      </x:c>
      <x:c r="H32" s="28" t="str">
        <x:v>EXAMPLE002 SDTM: t900dm.sas; EXAMPLE002 SDTM: t900ds.sas; EXAMPLE002 SDTM: t900sv.sas</x:v>
      </x:c>
      <x:c r="I32" s="28" t="n">
        <x:v>7</x:v>
      </x:c>
      <x:c r="J32" s="28" t="n">
        <x:v>7</x:v>
      </x:c>
      <x:c r="K32" s="28" t="inlineStr">
        <x:is>
          <x:t xml:space="preserve">Study</x:t>
        </x:is>
      </x:c>
      <x:c r="L32" s="28" t="n"/>
      <x:c r="M32" s="28" t="str">
        <x:v>EXAMPLE002 SDTM: Case varies in source text (Rescreen/rescreen) but references the same literal dataset spelling family.</x:v>
      </x:c>
      <x:c r="N32" s="28" t="str">
        <x:v>EXAMPLE002 SDTM:P-402-SDTM-006</x:v>
      </x:c>
    </x:row>
    <x:row r="33" ht="62" customHeight="1">
      <x:c r="A33" s="28" t="inlineStr">
        <x:is>
          <x:t xml:space="preserve">P-030</x:t>
        </x:is>
      </x:c>
      <x:c r="B33" s="28" t="inlineStr">
        <x:is>
          <x:t xml:space="preserve">TARGET_ADAM_ROOT</x:t>
        </x:is>
      </x:c>
      <x:c r="C33" s="28" t="inlineStr">
        <x:is>
          <x:t xml:space="preserve">Data root</x:t>
        </x:is>
      </x:c>
      <x:c r="D33" s="28" t="n"/>
      <x:c r="E33" s="28" t="inlineStr">
        <x:is>
          <x:t xml:space="preserve">&amp;targetData.\ADaM</x:t>
        </x:is>
      </x:c>
      <x:c r="F33" s="28" t="inlineStr">
        <x:is>
          <x:t xml:space="preserve">R-010</x:t>
        </x:is>
      </x:c>
      <x:c r="G33" s="28" t="str">
        <x:v>EXAMPLE001 TLF</x:v>
      </x:c>
      <x:c r="H33" s="28" t="str">
        <x:v>EXAMPLE001 TLF: autoexec.sas</x:v>
      </x:c>
      <x:c r="I33" s="28" t="n">
        <x:v>1</x:v>
      </x:c>
      <x:c r="J33" s="28" t="n">
        <x:v>1</x:v>
      </x:c>
      <x:c r="K33" s="28" t="inlineStr">
        <x:is>
          <x:t xml:space="preserve">Environment</x:t>
        </x:is>
      </x:c>
      <x:c r="L33" s="28" t="n"/>
      <x:c r="M33" s="28" t="str">
        <x:v>EXAMPLE001 TLF: SCE PADAM data location.</x:v>
      </x:c>
      <x:c r="N33" s="28" t="str">
        <x:v>EXAMPLE001 TLF:P-201-TLF-009</x:v>
      </x:c>
    </x:row>
    <x:row r="34" ht="62" customHeight="1">
      <x:c r="A34" s="28" t="inlineStr">
        <x:is>
          <x:t xml:space="preserve">P-031</x:t>
        </x:is>
      </x:c>
      <x:c r="B34" s="28" t="inlineStr">
        <x:is>
          <x:t xml:space="preserve">TARGET_AUTOEXEC_PATH</x:t>
        </x:is>
      </x:c>
      <x:c r="C34" s="28" t="inlineStr">
        <x:is>
          <x:t xml:space="preserve">Macro include path</x:t>
        </x:is>
      </x:c>
      <x:c r="D34" s="28" t="n"/>
      <x:c r="E34" s="28" t="inlineStr">
        <x:is>
          <x:t xml:space="preserve">&amp;targetStudy.\Programs\Macros\autoexec.sas</x:t>
        </x:is>
      </x:c>
      <x:c r="F34" s="28" t="inlineStr">
        <x:is>
          <x:t xml:space="preserve">R-001</x:t>
        </x:is>
      </x:c>
      <x:c r="G34" s="28" t="str">
        <x:v>EXAMPLE002 ADaM</x:v>
      </x:c>
      <x:c r="H34" s="28" t="str">
        <x:v>EXAMPLE002 ADaM: u900adae.sas; EXAMPLE002 ADaM: u900adsl.sas; EXAMPLE002 ADaM: u900tte.sas</x:v>
      </x:c>
      <x:c r="I34" s="28" t="n">
        <x:v>23</x:v>
      </x:c>
      <x:c r="J34" s="28" t="n">
        <x:v>23</x:v>
      </x:c>
      <x:c r="K34" s="28" t="inlineStr">
        <x:is>
          <x:t xml:space="preserve">Study</x:t>
        </x:is>
      </x:c>
      <x:c r="L34" s="28" t="n"/>
      <x:c r="M34" s="28" t="str">
        <x:v>EXAMPLE002 ADaM: Exact startup include path observed in every paired after-program.</x:v>
      </x:c>
      <x:c r="N34" s="28" t="str">
        <x:v>EXAMPLE002 ADaM:P-402-ADAM-006</x:v>
      </x:c>
    </x:row>
    <x:row r="35" ht="62" customHeight="1">
      <x:c r="A35" s="28" t="inlineStr">
        <x:is>
          <x:t xml:space="preserve">P-032</x:t>
        </x:is>
      </x:c>
      <x:c r="B35" s="28" t="inlineStr">
        <x:is>
          <x:t xml:space="preserve">TARGET_CLINICAL_ROOT</x:t>
        </x:is>
      </x:c>
      <x:c r="C35" s="28" t="inlineStr">
        <x:is>
          <x:t xml:space="preserve">Data root</x:t>
        </x:is>
      </x:c>
      <x:c r="D35" s="28" t="n"/>
      <x:c r="E35" s="28" t="inlineStr">
        <x:is>
          <x:t xml:space="preserve">&amp;targetData.\Clinical</x:t>
        </x:is>
      </x:c>
      <x:c r="F35" s="28" t="inlineStr">
        <x:is>
          <x:t xml:space="preserve">R-010</x:t>
        </x:is>
      </x:c>
      <x:c r="G35" s="28" t="str">
        <x:v>EXAMPLE001 TLF</x:v>
      </x:c>
      <x:c r="H35" s="28" t="str">
        <x:v>EXAMPLE001 TLF: autoexec.sas</x:v>
      </x:c>
      <x:c r="I35" s="28" t="n">
        <x:v>1</x:v>
      </x:c>
      <x:c r="J35" s="28" t="n">
        <x:v>1</x:v>
      </x:c>
      <x:c r="K35" s="28" t="inlineStr">
        <x:is>
          <x:t xml:space="preserve">Environment</x:t>
        </x:is>
      </x:c>
      <x:c r="L35" s="28" t="n"/>
      <x:c r="M35" s="28" t="str">
        <x:v>EXAMPLE001 TLF: SCE RAW/Clinical data location.</x:v>
      </x:c>
      <x:c r="N35" s="28" t="str">
        <x:v>EXAMPLE001 TLF:P-201-TLF-010</x:v>
      </x:c>
    </x:row>
    <x:row r="36" ht="62" customHeight="1">
      <x:c r="A36" s="28" t="inlineStr">
        <x:is>
          <x:t xml:space="preserve">P-033</x:t>
        </x:is>
      </x:c>
      <x:c r="B36" s="28" t="inlineStr">
        <x:is>
          <x:t xml:space="preserve">TARGET_DATA_ROOT</x:t>
        </x:is>
      </x:c>
      <x:c r="C36" s="28" t="inlineStr">
        <x:is>
          <x:t xml:space="preserve">Data-layer path root | SCE data-root macro | SCE data root macro</x:t>
        </x:is>
      </x:c>
      <x:c r="D36" s="28" t="inlineStr">
        <x:is>
          <x:t xml:space="preserve">[not present]</x:t>
        </x:is>
      </x:c>
      <x:c r="E36" s="28" t="inlineStr">
        <x:is>
          <x:t xml:space="preserve">&amp;targetData. | &amp;targetData</x:t>
        </x:is>
      </x:c>
      <x:c r="F36" s="28" t="inlineStr">
        <x:is>
          <x:t xml:space="preserve">R-014; R-010; R-028</x:t>
        </x:is>
      </x:c>
      <x:c r="G36" s="28" t="str">
        <x:v>EXAMPLE001 ADaM; EXAMPLE001 SDTM; EXAMPLE002 SDTM</x:v>
      </x:c>
      <x:c r="H36" s="28" t="str">
        <x:v>EXAMPLE001 ADaM: adae.sas; EXAMPLE001 ADaM: adbase.sas; EXAMPLE001 ADaM: adcm.sas; EXAMPLE001 SDTM: autoexec.sas; EXAMPLE002 SDTM: t900ae.sas; EXAMPLE002 SDTM: t900oe.sas</x:v>
      </x:c>
      <x:c r="I36" s="28" t="n">
        <x:v>25</x:v>
      </x:c>
      <x:c r="J36" s="28" t="n">
        <x:v>25</x:v>
      </x:c>
      <x:c r="K36" s="28" t="inlineStr">
        <x:is>
          <x:t xml:space="preserve">Environment | Study</x:t>
        </x:is>
      </x:c>
      <x:c r="L36" s="28" t="inlineStr">
        <x:is>
          <x:t xml:space="preserve">Multiple</x:t>
        </x:is>
      </x:c>
      <x:c r="M36" s="28" t="str">
        <x:v>EXAMPLE001 ADaM: Already represented as a macro variable in SCE; one additional occurrence is a commented alternate XPT path in adsl.sas. | EXAMPLE001 SDTM: After-side macro used for Clinical, SDTM, and External Data library roots. | EXAMPLE002 SDTM: Used to derive Clinical, SDTM, and External Data paths.</x:v>
      </x:c>
      <x:c r="N36" s="28" t="str">
        <x:v>EXAMPLE001 ADaM:P-201-005; EXAMPLE001 SDTM:P-201-SDTM-004; EXAMPLE002 SDTM:P-402-SDTM-002</x:v>
      </x:c>
    </x:row>
    <x:row r="37" ht="62" customHeight="1">
      <x:c r="A37" s="28" t="inlineStr">
        <x:is>
          <x:t xml:space="preserve">P-034</x:t>
        </x:is>
      </x:c>
      <x:c r="B37" s="28" t="inlineStr">
        <x:is>
          <x:t xml:space="preserve">TARGET_DOCS_ROOT</x:t>
        </x:is>
      </x:c>
      <x:c r="C37" s="28" t="inlineStr">
        <x:is>
          <x:t xml:space="preserve">Path root</x:t>
        </x:is>
      </x:c>
      <x:c r="D37" s="28" t="n"/>
      <x:c r="E37" s="28" t="inlineStr">
        <x:is>
          <x:t xml:space="preserve">&amp;targetStudy.\Docs\</x:t>
        </x:is>
      </x:c>
      <x:c r="F37" s="28" t="inlineStr">
        <x:is>
          <x:t xml:space="preserve">R-017</x:t>
        </x:is>
      </x:c>
      <x:c r="G37" s="28" t="str">
        <x:v>EXAMPLE002 ADaM</x:v>
      </x:c>
      <x:c r="H37" s="28" t="str">
        <x:v>EXAMPLE002 ADaM: u900adcm.sas; EXAMPLE002 ADaM: u900adsl.sas</x:v>
      </x:c>
      <x:c r="I37" s="28" t="n">
        <x:v>4</x:v>
      </x:c>
      <x:c r="J37" s="28" t="n">
        <x:v>2</x:v>
      </x:c>
      <x:c r="K37" s="28" t="inlineStr">
        <x:is>
          <x:t xml:space="preserve">Study</x:t>
        </x:is>
      </x:c>
      <x:c r="L37" s="28" t="n"/>
      <x:c r="M37" s="28" t="str">
        <x:v>EXAMPLE002 ADaM: Target document root for imported Excel support files.</x:v>
      </x:c>
      <x:c r="N37" s="28" t="str">
        <x:v>EXAMPLE002 ADaM:P-402-ADAM-005</x:v>
      </x:c>
    </x:row>
    <x:row r="38" ht="62" customHeight="1">
      <x:c r="A38" s="28" t="inlineStr">
        <x:is>
          <x:t xml:space="preserve">P-035</x:t>
        </x:is>
      </x:c>
      <x:c r="B38" s="28" t="inlineStr">
        <x:is>
          <x:t xml:space="preserve">TARGET_MACROS_ROOT</x:t>
        </x:is>
      </x:c>
      <x:c r="C38" s="28" t="inlineStr">
        <x:is>
          <x:t xml:space="preserve">Macro root</x:t>
        </x:is>
      </x:c>
      <x:c r="D38" s="28" t="n"/>
      <x:c r="E38" s="28" t="inlineStr">
        <x:is>
          <x:t xml:space="preserve">&amp;targetStudy.\Dev\Programs\Macros</x:t>
        </x:is>
      </x:c>
      <x:c r="F38" s="28" t="inlineStr">
        <x:is>
          <x:t xml:space="preserve">R-012; R-008; R-030</x:t>
        </x:is>
      </x:c>
      <x:c r="G38" s="28" t="str">
        <x:v>EXAMPLE001 TLF</x:v>
      </x:c>
      <x:c r="H38" s="28" t="str">
        <x:v>EXAMPLE001 TLF: t-dm-fas.sas; EXAMPLE001 TLF: l-death.sas; EXAMPLE001 TLF: chk_log.sas</x:v>
      </x:c>
      <x:c r="I38" s="28" t="n">
        <x:v>39</x:v>
      </x:c>
      <x:c r="J38" s="28" t="n">
        <x:v>21</x:v>
      </x:c>
      <x:c r="K38" s="28" t="inlineStr">
        <x:is>
          <x:t xml:space="preserve">Environment</x:t>
        </x:is>
      </x:c>
      <x:c r="L38" s="28" t="n"/>
      <x:c r="M38" s="28" t="str">
        <x:v>EXAMPLE001 TLF: Parent for setupanl.sas, mheadfoot.sas, list_files.sas, and chk_log.sas.</x:v>
      </x:c>
      <x:c r="N38" s="28" t="str">
        <x:v>EXAMPLE001 TLF:P-201-TLF-004</x:v>
      </x:c>
    </x:row>
    <x:row r="39" ht="62" customHeight="1">
      <x:c r="A39" s="28" t="inlineStr">
        <x:is>
          <x:t xml:space="preserve">P-036</x:t>
        </x:is>
      </x:c>
      <x:c r="B39" s="28" t="inlineStr">
        <x:is>
          <x:t xml:space="preserve">TARGET_MA_TLF_AUTOEXEC</x:t>
        </x:is>
      </x:c>
      <x:c r="C39" s="28" t="inlineStr">
        <x:is>
          <x:t xml:space="preserve">SCE testing autoexec path</x:t>
        </x:is>
      </x:c>
      <x:c r="D39" s="28" t="n"/>
      <x:c r="E39" s="28" t="inlineStr">
        <x:is>
          <x:t xml:space="preserve">&amp;targetStudy.\Dev\Programs\TLF\MA_Testing\autoexec.sas</x:t>
        </x:is>
      </x:c>
      <x:c r="F39" s="28" t="inlineStr">
        <x:is>
          <x:t xml:space="preserve">R-009</x:t>
        </x:is>
      </x:c>
      <x:c r="G39" s="28" t="str">
        <x:v>EXAMPLE001 TLF</x:v>
      </x:c>
      <x:c r="H39" s="28" t="str">
        <x:v>EXAMPLE001 TLF: l-death.sas; EXAMPLE001 TLF: t-lb-lc-saf.sas</x:v>
      </x:c>
      <x:c r="I39" s="28" t="n">
        <x:v>2</x:v>
      </x:c>
      <x:c r="J39" s="28" t="n">
        <x:v>2</x:v>
      </x:c>
      <x:c r="K39" s="28" t="inlineStr">
        <x:is>
          <x:t xml:space="preserve">Environment</x:t>
        </x:is>
      </x:c>
      <x:c r="L39" s="28" t="n"/>
      <x:c r="M39" s="28" t="str">
        <x:v>EXAMPLE001 TLF: MA_Testing-only target.</x:v>
      </x:c>
      <x:c r="N39" s="28" t="str">
        <x:v>EXAMPLE001 TLF:P-201-TLF-003</x:v>
      </x:c>
    </x:row>
    <x:row r="40" ht="62" customHeight="1">
      <x:c r="A40" s="28" t="inlineStr">
        <x:is>
          <x:t xml:space="preserve">P-037</x:t>
        </x:is>
      </x:c>
      <x:c r="B40" s="28" t="inlineStr">
        <x:is>
          <x:t xml:space="preserve">TARGET_SDTM_ROOT</x:t>
        </x:is>
      </x:c>
      <x:c r="C40" s="28" t="inlineStr">
        <x:is>
          <x:t xml:space="preserve">Data root</x:t>
        </x:is>
      </x:c>
      <x:c r="D40" s="28" t="n"/>
      <x:c r="E40" s="28" t="inlineStr">
        <x:is>
          <x:t xml:space="preserve">&amp;targetData.\SDTM</x:t>
        </x:is>
      </x:c>
      <x:c r="F40" s="28" t="inlineStr">
        <x:is>
          <x:t xml:space="preserve">R-010</x:t>
        </x:is>
      </x:c>
      <x:c r="G40" s="28" t="str">
        <x:v>EXAMPLE001 TLF</x:v>
      </x:c>
      <x:c r="H40" s="28" t="str">
        <x:v>EXAMPLE001 TLF: autoexec.sas</x:v>
      </x:c>
      <x:c r="I40" s="28" t="n">
        <x:v>1</x:v>
      </x:c>
      <x:c r="J40" s="28" t="n">
        <x:v>1</x:v>
      </x:c>
      <x:c r="K40" s="28" t="inlineStr">
        <x:is>
          <x:t xml:space="preserve">Environment</x:t>
        </x:is>
      </x:c>
      <x:c r="L40" s="28" t="n"/>
      <x:c r="M40" s="28" t="str">
        <x:v>EXAMPLE001 TLF: SCE SDTM data location.</x:v>
      </x:c>
      <x:c r="N40" s="28" t="str">
        <x:v>EXAMPLE001 TLF:P-201-TLF-011</x:v>
      </x:c>
    </x:row>
    <x:row r="41" ht="62" customHeight="1">
      <x:c r="A41" s="28" t="inlineStr">
        <x:is>
          <x:t xml:space="preserve">P-038</x:t>
        </x:is>
      </x:c>
      <x:c r="B41" s="28" t="inlineStr">
        <x:is>
          <x:t xml:space="preserve">TARGET_STATE</x:t>
        </x:is>
      </x:c>
      <x:c r="C41" s="28" t="inlineStr">
        <x:is>
          <x:t xml:space="preserve">Environment/state segment</x:t>
        </x:is>
      </x:c>
      <x:c r="D41" s="28" t="inlineStr">
        <x:is>
          <x:t xml:space="preserve">dev (legacy absolute path) / relative legacy paths</x:t>
        </x:is>
      </x:c>
      <x:c r="E41" s="28" t="inlineStr">
        <x:is>
          <x:t xml:space="preserve">Dev</x:t>
        </x:is>
      </x:c>
      <x:c r="F41" s="28" t="inlineStr">
        <x:is>
          <x:t xml:space="preserve">R-005; R-015; R-016; R-012; C-006</x:t>
        </x:is>
      </x:c>
      <x:c r="G41" s="28" t="str">
        <x:v>EXAMPLE001 ADaM</x:v>
      </x:c>
      <x:c r="H41" s="28" t="str">
        <x:v>EXAMPLE001 ADaM: adae.sas; EXAMPLE001 ADaM: adlb.sas; EXAMPLE001 ADaM: adpr.sas</x:v>
      </x:c>
      <x:c r="I41" s="28" t="n">
        <x:v>27</x:v>
      </x:c>
      <x:c r="J41" s="28" t="n">
        <x:v>8</x:v>
      </x:c>
      <x:c r="K41" s="28" t="inlineStr">
        <x:is>
          <x:t xml:space="preserve">Environment</x:t>
        </x:is>
      </x:c>
      <x:c r="L41" s="28" t="n"/>
      <x:c r="M41" s="28" t="str">
        <x:v>EXAMPLE001 ADaM: The after paths hardcode `Dev`; automation should not bake this state if Dev/Prod promotion is expected.</x:v>
      </x:c>
      <x:c r="N41" s="28" t="str">
        <x:v>EXAMPLE001 ADaM:P-201-006</x:v>
      </x:c>
    </x:row>
    <x:row r="42" ht="62" customHeight="1">
      <x:c r="A42" s="28" t="inlineStr">
        <x:is>
          <x:t xml:space="preserve">P-039</x:t>
        </x:is>
      </x:c>
      <x:c r="B42" s="28" t="inlineStr">
        <x:is>
          <x:t xml:space="preserve">TARGET_STUDY_ROOT</x:t>
        </x:is>
      </x:c>
      <x:c r="C42" s="28" t="inlineStr">
        <x:is>
          <x:t xml:space="preserve">Environment path root | SCE study-root macro | Study path root | SCE study root macro</x:t>
        </x:is>
      </x:c>
      <x:c r="D42" s="28" t="inlineStr">
        <x:is>
          <x:t xml:space="preserve">[not present]</x:t>
        </x:is>
      </x:c>
      <x:c r="E42" s="28" t="inlineStr">
        <x:is>
          <x:t xml:space="preserve">&amp;targetStudy.</x:t>
        </x:is>
      </x:c>
      <x:c r="F42" s="28" t="inlineStr">
        <x:is>
          <x:t xml:space="preserve">R-005; R-015; R-016; R-012; C-006; C-009; C-008; R-017; C-013; R-030; R-001; R-010</x:t>
        </x:is>
      </x:c>
      <x:c r="G42" s="28" t="str">
        <x:v>EXAMPLE001 ADaM; EXAMPLE001 SDTM; EXAMPLE002 ADaM; EXAMPLE002 SDTM; EXAMPLE002 TLF</x:v>
      </x:c>
      <x:c r="H42" s="28" t="str">
        <x:v>EXAMPLE001 ADaM: adae.sas; EXAMPLE001 ADaM: adbase.sas; EXAMPLE001 ADaM: adpr.sas; EXAMPLE001 SDTM: ae.sas; EXAMPLE001 SDTM: autoexec.sas; EXAMPLE001 SDTM: chk_log.sas</x:v>
      </x:c>
      <x:c r="I42" s="28" t="n">
        <x:v>131</x:v>
      </x:c>
      <x:c r="J42" s="28" t="n">
        <x:v>92</x:v>
      </x:c>
      <x:c r="K42" s="28" t="inlineStr">
        <x:is>
          <x:t xml:space="preserve">Environment | Study</x:t>
        </x:is>
      </x:c>
      <x:c r="L42" s="28" t="inlineStr">
        <x:is>
          <x:t xml:space="preserve">Multiple</x:t>
        </x:is>
      </x:c>
      <x:c r="M42" s="28" t="str">
        <x:v>EXAMPLE001 ADaM: Already represented as a macro variable in the SCE source and should remain parameterized. | EXAMPLE001 SDTM: After-side macro used to form study-scoped SCE locations. | EXAMPLE002 ADaM: Root macro used to construct SCE macro and Docs paths. | EXAMPLE002 SDTM: Platform-supplied study root; do not bake a physical path into automation. | EXAMPLE002 TLF: Already represented as a macro variable in the validated SCE source; automation should not hardcode a physical drive/root.</x:v>
      </x:c>
      <x:c r="N42" s="28" t="str">
        <x:v>EXAMPLE001 ADaM:P-201-004; EXAMPLE001 SDTM:P-201-SDTM-003; EXAMPLE002 ADaM:P-402-ADAM-001; EXAMPLE002 SDTM:P-402-SDTM-001; EXAMPLE002 TLF:P-402-TLF-001</x:v>
      </x:c>
    </x:row>
    <x:row r="43" ht="62" customHeight="1">
      <x:c r="A43" s="28" t="inlineStr">
        <x:is>
          <x:t xml:space="preserve">P-040</x:t>
        </x:is>
      </x:c>
      <x:c r="B43" s="28" t="inlineStr">
        <x:is>
          <x:t xml:space="preserve">TARGET_TLF_AUTOEXEC</x:t>
        </x:is>
      </x:c>
      <x:c r="C43" s="28" t="inlineStr">
        <x:is>
          <x:t xml:space="preserve">SCE autoexec path</x:t>
        </x:is>
      </x:c>
      <x:c r="D43" s="28" t="n"/>
      <x:c r="E43" s="28" t="inlineStr">
        <x:is>
          <x:t xml:space="preserve">&amp;targetStudy.\Dev\Programs\TLF\autoexec.sas</x:t>
        </x:is>
      </x:c>
      <x:c r="F43" s="28" t="inlineStr">
        <x:is>
          <x:t xml:space="preserve">R-009</x:t>
        </x:is>
      </x:c>
      <x:c r="G43" s="28" t="str">
        <x:v>EXAMPLE001 TLF</x:v>
      </x:c>
      <x:c r="H43" s="28" t="str">
        <x:v>EXAMPLE001 TLF: l-ae.sas; EXAMPLE001 TLF: t-dm-fas.sas</x:v>
      </x:c>
      <x:c r="I43" s="28" t="n">
        <x:v>18</x:v>
      </x:c>
      <x:c r="J43" s="28" t="n">
        <x:v>18</x:v>
      </x:c>
      <x:c r="K43" s="28" t="inlineStr">
        <x:is>
          <x:t xml:space="preserve">Environment</x:t>
        </x:is>
      </x:c>
      <x:c r="L43" s="28" t="n"/>
      <x:c r="M43" s="28" t="str">
        <x:v>EXAMPLE001 TLF: Production TLF target.</x:v>
      </x:c>
      <x:c r="N43" s="28" t="str">
        <x:v>EXAMPLE001 TLF:P-201-TLF-002</x:v>
      </x:c>
    </x:row>
    <x:row r="44" ht="62" customHeight="1">
      <x:c r="A44" s="28" t="inlineStr">
        <x:is>
          <x:t xml:space="preserve">P-041</x:t>
        </x:is>
      </x:c>
      <x:c r="B44" s="28" t="inlineStr">
        <x:is>
          <x:t xml:space="preserve">TARGET_TLF_MACRO_ROOT</x:t>
        </x:is>
      </x:c>
      <x:c r="C44" s="28" t="inlineStr">
        <x:is>
          <x:t xml:space="preserve">Macro root</x:t>
        </x:is>
      </x:c>
      <x:c r="D44" s="28" t="n"/>
      <x:c r="E44" s="28" t="inlineStr">
        <x:is>
          <x:t xml:space="preserve">&amp;targetStudy.\Dev\Programs\TLF\primary\macros</x:t>
        </x:is>
      </x:c>
      <x:c r="F44" s="28" t="inlineStr">
        <x:is>
          <x:t xml:space="preserve">C-011</x:t>
        </x:is>
      </x:c>
      <x:c r="G44" s="28" t="str">
        <x:v>EXAMPLE001 TLF</x:v>
      </x:c>
      <x:c r="H44" s="28" t="str">
        <x:v>EXAMPLE001 TLF: autoexec.sas</x:v>
      </x:c>
      <x:c r="I44" s="28" t="n">
        <x:v>1</x:v>
      </x:c>
      <x:c r="J44" s="28" t="n">
        <x:v>1</x:v>
      </x:c>
      <x:c r="K44" s="28" t="inlineStr">
        <x:is>
          <x:t xml:space="preserve">Environment</x:t>
        </x:is>
      </x:c>
      <x:c r="L44" s="28" t="n"/>
      <x:c r="M44" s="28" t="str">
        <x:v>EXAMPLE001 TLF: TLF-specific autocall macro root.</x:v>
      </x:c>
      <x:c r="N44" s="28" t="str">
        <x:v>EXAMPLE001 TLF:P-201-TLF-006</x:v>
      </x:c>
    </x:row>
    <x:row r="45" ht="62" customHeight="1">
      <x:c r="A45" s="28" t="inlineStr">
        <x:is>
          <x:t xml:space="preserve">P-042</x:t>
        </x:is>
      </x:c>
      <x:c r="B45" s="28" t="inlineStr">
        <x:is>
          <x:t xml:space="preserve">TARGET_TLF_OUTPUT_ROOT</x:t>
        </x:is>
      </x:c>
      <x:c r="C45" s="28" t="inlineStr">
        <x:is>
          <x:t xml:space="preserve">Output root</x:t>
        </x:is>
      </x:c>
      <x:c r="D45" s="28" t="n"/>
      <x:c r="E45" s="28" t="inlineStr">
        <x:is>
          <x:t xml:space="preserve">&amp;targetStudy.\Dev\Output\TLF</x:t>
        </x:is>
      </x:c>
      <x:c r="F45" s="28" t="inlineStr">
        <x:is>
          <x:t xml:space="preserve">C-012</x:t>
        </x:is>
      </x:c>
      <x:c r="G45" s="28" t="str">
        <x:v>EXAMPLE001 TLF</x:v>
      </x:c>
      <x:c r="H45" s="28" t="str">
        <x:v>EXAMPLE001 TLF: autoexec.sas</x:v>
      </x:c>
      <x:c r="I45" s="28" t="n">
        <x:v>2</x:v>
      </x:c>
      <x:c r="J45" s="28" t="n">
        <x:v>1</x:v>
      </x:c>
      <x:c r="K45" s="28" t="inlineStr">
        <x:is>
          <x:t xml:space="preserve">Environment</x:t>
        </x:is>
      </x:c>
      <x:c r="L45" s="28" t="n"/>
      <x:c r="M45" s="28" t="str">
        <x:v>EXAMPLE001 TLF: SCE TLF output location.</x:v>
      </x:c>
      <x:c r="N45" s="28" t="str">
        <x:v>EXAMPLE001 TLF:P-201-TLF-013</x:v>
      </x:c>
    </x:row>
    <x:row r="46" ht="62" customHeight="1">
      <x:c r="A46" s="28" t="inlineStr">
        <x:is>
          <x:t xml:space="preserve">P-043</x:t>
        </x:is>
      </x:c>
      <x:c r="B46" s="28" t="inlineStr">
        <x:is>
          <x:t xml:space="preserve">SDTM_DATA_LIBREF</x:t>
        </x:is>
      </x:c>
      <x:c r="C46" s="28" t="inlineStr">
        <x:is>
          <x:t xml:space="preserve">Library name</x:t>
        </x:is>
      </x:c>
      <x:c r="D46" s="28" t="inlineStr">
        <x:is>
          <x:t xml:space="preserve">data / omitted</x:t>
        </x:is>
      </x:c>
      <x:c r="E46" s="28" t="inlineStr">
        <x:is>
          <x:t xml:space="preserve">Data / DATA</x:t>
        </x:is>
      </x:c>
      <x:c r="F46" s="28" t="inlineStr">
        <x:is>
          <x:t xml:space="preserve">R-022; C-014</x:t>
        </x:is>
      </x:c>
      <x:c r="G46" s="28" t="str">
        <x:v>EXAMPLE002 ADaM</x:v>
      </x:c>
      <x:c r="H46" s="28" t="str">
        <x:v>EXAMPLE002 ADaM: u900addv.sas; EXAMPLE002 ADaM: u900tte.sas</x:v>
      </x:c>
      <x:c r="I46" s="28" t="n">
        <x:v>3</x:v>
      </x:c>
      <x:c r="J46" s="28" t="n">
        <x:v>2</x:v>
      </x:c>
      <x:c r="K46" s="28" t="inlineStr">
        <x:is>
          <x:t xml:space="preserve">Global</x:t>
        </x:is>
      </x:c>
      <x:c r="L46" s="28" t="n"/>
      <x:c r="M46" s="28" t="str">
        <x:v>EXAMPLE002 ADaM: Used where SDTM members are explicitly separated from ADaM members.</x:v>
      </x:c>
      <x:c r="N46" s="28" t="str">
        <x:v>EXAMPLE002 ADaM:P-402-ADAM-003</x:v>
      </x:c>
    </x:row>
    <x:row r="47" ht="62" customHeight="1">
      <x:c r="A47" s="28" t="inlineStr">
        <x:is>
          <x:t xml:space="preserve">P-044</x:t>
        </x:is>
      </x:c>
      <x:c r="B47" s="28" t="inlineStr">
        <x:is>
          <x:t xml:space="preserve">SDTM_SPEC_FILE</x:t>
        </x:is>
      </x:c>
      <x:c r="C47" s="28" t="inlineStr">
        <x:is>
          <x:t xml:space="preserve">Specification filename</x:t>
        </x:is>
      </x:c>
      <x:c r="D47" s="28" t="str">
        <x:v>EXAMPLE001 SDTM Specs_v1.0.xlsx</x:v>
      </x:c>
      <x:c r="E47" s="28" t="str">
        <x:v>EXAMPLE001 SDTM Specs_v1.0.xlsx</x:v>
      </x:c>
      <x:c r="F47" s="28" t="inlineStr">
        <x:is>
          <x:t xml:space="preserve">R-017</x:t>
        </x:is>
      </x:c>
      <x:c r="G47" s="28" t="str">
        <x:v>EXAMPLE001 SDTM</x:v>
      </x:c>
      <x:c r="H47" s="28" t="str">
        <x:v>EXAMPLE001 SDTM: autoexec.sas</x:v>
      </x:c>
      <x:c r="I47" s="28" t="n">
        <x:v>2</x:v>
      </x:c>
      <x:c r="J47" s="28" t="n">
        <x:v>1</x:v>
      </x:c>
      <x:c r="K47" s="28" t="inlineStr">
        <x:is>
          <x:t xml:space="preserve">Study</x:t>
        </x:is>
      </x:c>
      <x:c r="L47" s="28" t="n"/>
      <x:c r="M47" s="28" t="str">
        <x:v>EXAMPLE001 SDTM: The filename is unchanged, while its directory moves to the SCE Documents location.</x:v>
      </x:c>
      <x:c r="N47" s="28" t="str">
        <x:v>EXAMPLE001 SDTM:P-201-SDTM-008</x:v>
      </x:c>
    </x:row>
    <x:row r="48" ht="62" customHeight="1">
      <x:c r="A48" s="28" t="inlineStr">
        <x:is>
          <x:t xml:space="preserve">P-045</x:t>
        </x:is>
      </x:c>
      <x:c r="B48" s="28" t="inlineStr">
        <x:is>
          <x:t xml:space="preserve">SDTM_SUBDIR</x:t>
        </x:is>
      </x:c>
      <x:c r="C48" s="28" t="inlineStr">
        <x:is>
          <x:t xml:space="preserve">Directory</x:t>
        </x:is>
      </x:c>
      <x:c r="D48" s="28" t="n"/>
      <x:c r="E48" s="28" t="inlineStr">
        <x:is>
          <x:t xml:space="preserve">SDTM</x:t>
        </x:is>
      </x:c>
      <x:c r="F48" s="28" t="inlineStr">
        <x:is>
          <x:t xml:space="preserve">R-010; R-028</x:t>
        </x:is>
      </x:c>
      <x:c r="G48" s="28" t="str">
        <x:v>EXAMPLE002 SDTM</x:v>
      </x:c>
      <x:c r="H48" s="28" t="str">
        <x:v>EXAMPLE002 SDTM: t900ae.sas; EXAMPLE002 SDTM: t900oe.sas; EXAMPLE002 SDTM: t900sv.sas</x:v>
      </x:c>
      <x:c r="I48" s="28" t="n">
        <x:v>16</x:v>
      </x:c>
      <x:c r="J48" s="28" t="n">
        <x:v>16</x:v>
      </x:c>
      <x:c r="K48" s="28" t="inlineStr">
        <x:is>
          <x:t xml:space="preserve">Global</x:t>
        </x:is>
      </x:c>
      <x:c r="L48" s="28" t="n"/>
      <x:c r="M48" s="28" t="str">
        <x:v>EXAMPLE002 SDTM: Native SDTM data location under TARGET_DATA_ROOT.</x:v>
      </x:c>
      <x:c r="N48" s="28" t="str">
        <x:v>EXAMPLE002 SDTM:P-402-SDTM-004</x:v>
      </x:c>
    </x:row>
    <x:row r="49" ht="62" customHeight="1">
      <x:c r="A49" s="28" t="inlineStr">
        <x:is>
          <x:t xml:space="preserve">P-046</x:t>
        </x:is>
      </x:c>
      <x:c r="B49" s="28" t="inlineStr">
        <x:is>
          <x:t xml:space="preserve">STUDY_ID</x:t>
        </x:is>
      </x:c>
      <x:c r="C49" s="28" t="inlineStr">
        <x:is>
          <x:t xml:space="preserve">Study identifier</x:t>
        </x:is>
      </x:c>
      <x:c r="D49" s="28" t="str">
        <x:v>201 (also embedded in EXAMPLE001_legacy) | EXAMPLE001</x:v>
      </x:c>
      <x:c r="E49" s="28" t="str">
        <x:v>201 | EXAMPLE001</x:v>
      </x:c>
      <x:c r="F49" s="28" t="inlineStr">
        <x:is>
          <x:t xml:space="preserve">C-006; R-010; R-017; C-005</x:t>
        </x:is>
      </x:c>
      <x:c r="G49" s="28" t="str">
        <x:v>EXAMPLE001 ADaM; EXAMPLE001 SDTM; EXAMPLE001 TLF</x:v>
      </x:c>
      <x:c r="H49" s="28" t="str">
        <x:v>EXAMPLE001 ADaM: adlb.sas; EXAMPLE001 SDTM: autoexec.sas; EXAMPLE001 TLF: autoexec.sas</x:v>
      </x:c>
      <x:c r="I49" s="28" t="n">
        <x:v>3</x:v>
      </x:c>
      <x:c r="J49" s="28" t="n">
        <x:v>3</x:v>
      </x:c>
      <x:c r="K49" s="28" t="inlineStr">
        <x:is>
          <x:t xml:space="preserve">Study</x:t>
        </x:is>
      </x:c>
      <x:c r="L49" s="28" t="inlineStr">
        <x:is>
          <x:t xml:space="preserve">Multiple</x:t>
        </x:is>
      </x:c>
      <x:c r="M49" s="28" t="str">
        <x:v>EXAMPLE001 ADaM: Study identifier is present in the archive names and the legacy ADLB validation path. | EXAMPLE001 SDTM: Study identifier is embedded in CDR data roots and the SDTM specification filename. | EXAMPLE001 TLF: Study identifier appears in the new macro variable and legacy RAW root.</x:v>
      </x:c>
      <x:c r="N49" s="28" t="str">
        <x:v>EXAMPLE001 ADaM:P-201-001; EXAMPLE001 SDTM:P-201-SDTM-001; EXAMPLE001 TLF:P-201-TLF-014</x:v>
      </x:c>
    </x:row>
  </x:sheetData>
  <x:mergeCells>
    <x:mergeCell ref="A2:N2"/>
    <x:mergeCell ref="A1:N1"/>
  </x:mergeCells>
  <x:pageMargins left="0.7" right="0.7" top="0.75" bottom="0.75" header="0.3" footer="0.3"/>
  <x:tableParts count="1">
    <x:tablePart xmlns:r="http://schemas.openxmlformats.org/officeDocument/2006/relationships" r:id="R7ff7ebac99ab4f16"/>
  </x:tableParts>
</x:worksheet>
</file>

<file path=xl/worksheets/sheet8.xml><?xml version="1.0" encoding="utf-8"?>
<x:worksheet xmlns:x="http://schemas.openxmlformats.org/spreadsheetml/2006/main">
  <x:sheetFormatPr baseColWidth="8" defaultRowHeight="15"/>
  <x:cols>
    <x:col min="1" max="1" width="14" customWidth="1"/>
    <x:col min="2" max="2" width="9" customWidth="1"/>
    <x:col min="3" max="3" width="10" customWidth="1"/>
    <x:col min="4" max="4" width="42" customWidth="1"/>
    <x:col min="5" max="5" width="38" customWidth="1"/>
    <x:col min="6" max="6" width="88" customWidth="1"/>
  </x:cols>
  <x:sheetData>
    <x:row r="1" ht="27" customHeight="1">
      <x:c r="A1" s="7" t="inlineStr">
        <x:is>
          <x:t xml:space="preserve">Source Batch Summaries</x:t>
        </x:is>
      </x:c>
      <x:c r="B1" s="1" t="n"/>
      <x:c r="C1" s="1" t="n"/>
      <x:c r="D1" s="1" t="n"/>
      <x:c r="E1" s="1" t="n"/>
      <x:c r="F1" s="1" t="n"/>
    </x:row>
    <x:row r="2" ht="34" customHeight="1">
      <x:c r="A2" s="15" t="inlineStr">
        <x:is>
          <x:t xml:space="preserve">Audit rows removed for public distribution.</x:t>
        </x:is>
      </x:c>
      <x:c r="B2" s="1" t="n"/>
      <x:c r="C2" s="1" t="n"/>
      <x:c r="D2" s="1" t="n"/>
      <x:c r="E2" s="1" t="n"/>
      <x:c r="F2" s="1" t="n"/>
    </x:row>
    <x:row r="3" ht="36" customHeight="1">
      <x:c r="A3" s="20" t="inlineStr">
        <x:is>
          <x:t xml:space="preserve">Batch</x:t>
        </x:is>
      </x:c>
      <x:c r="B3" s="20" t="inlineStr">
        <x:is>
          <x:t xml:space="preserve">Study</x:t>
        </x:is>
      </x:c>
      <x:c r="C3" s="20" t="inlineStr">
        <x:is>
          <x:t xml:space="preserve">Domain</x:t>
        </x:is>
      </x:c>
      <x:c r="D3" s="20" t="inlineStr">
        <x:is>
          <x:t xml:space="preserve">Source Workbook</x:t>
        </x:is>
      </x:c>
      <x:c r="E3" s="20" t="inlineStr">
        <x:is>
          <x:t xml:space="preserve">Metric</x:t>
        </x:is>
      </x:c>
      <x:c r="F3" s="20" t="inlineStr">
        <x:is>
          <x:t xml:space="preserve">Result</x:t>
        </x:is>
      </x:c>
    </x:row>
    <x:row r="4" ht="34" customHeight="1">
      <x:c r="A4" s="28" t="inlineStr">
        <x:is>
          <x:t xml:space="preserve">Removed for public distribution</x:t>
        </x:is>
      </x:c>
      <x:c r="B4" s="28" t="n"/>
      <x:c r="C4" s="28" t="n"/>
      <x:c r="D4" s="28" t="n"/>
      <x:c r="E4" s="28" t="n"/>
      <x:c r="F4" s="28" t="n"/>
    </x:row>
    <x:row r="5" ht="34" customHeight="1"/>
    <x:row r="6" ht="34" customHeight="1"/>
    <x:row r="7" ht="34" customHeight="1"/>
    <x:row r="8" ht="34" customHeight="1"/>
    <x:row r="9" ht="34" customHeight="1"/>
    <x:row r="10" ht="34" customHeight="1"/>
    <x:row r="11" ht="34" customHeight="1"/>
    <x:row r="12" ht="34" customHeight="1"/>
    <x:row r="13" ht="34" customHeight="1"/>
    <x:row r="14" ht="34" customHeight="1"/>
    <x:row r="15" ht="34" customHeight="1"/>
    <x:row r="16" ht="34" customHeight="1"/>
    <x:row r="17" ht="34" customHeight="1"/>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row r="201" ht="34" customHeight="1"/>
    <x:row r="202" ht="34" customHeight="1"/>
    <x:row r="203" ht="34" customHeight="1"/>
    <x:row r="204" ht="34" customHeight="1"/>
    <x:row r="205" ht="34" customHeight="1"/>
    <x:row r="206" ht="34" customHeight="1"/>
    <x:row r="207" ht="34" customHeight="1"/>
    <x:row r="208" ht="34" customHeight="1"/>
    <x:row r="209" ht="34" customHeight="1"/>
    <x:row r="210" ht="34" customHeight="1"/>
    <x:row r="211" ht="34" customHeight="1"/>
    <x:row r="212" ht="34" customHeight="1"/>
    <x:row r="213" ht="34" customHeight="1"/>
    <x:row r="214" ht="34" customHeight="1"/>
    <x:row r="215" ht="34" customHeight="1"/>
    <x:row r="216" ht="34" customHeight="1"/>
    <x:row r="217" ht="34" customHeight="1"/>
    <x:row r="218" ht="34" customHeight="1"/>
    <x:row r="219" ht="34" customHeight="1"/>
    <x:row r="220" ht="34" customHeight="1"/>
    <x:row r="221" ht="34" customHeight="1"/>
    <x:row r="222" ht="34" customHeight="1"/>
    <x:row r="223" ht="34" customHeight="1"/>
    <x:row r="224" ht="34" customHeight="1"/>
    <x:row r="225" ht="34" customHeight="1"/>
    <x:row r="226" ht="34" customHeight="1"/>
    <x:row r="227" ht="34" customHeight="1"/>
    <x:row r="228" ht="34" customHeight="1"/>
  </x:sheetData>
  <x:mergeCells>
    <x:mergeCell ref="A2:F2"/>
    <x:mergeCell ref="A1:F1"/>
  </x:mergeCells>
  <x:pageMargins left="0.7" right="0.7" top="0.75" bottom="0.75" header="0.3" footer="0.3"/>
  <x:tableParts count="1">
    <x:tablePart xmlns:r="http://schemas.openxmlformats.org/officeDocument/2006/relationships" r:id="R13a68f7057b24b8a"/>
  </x:tableParts>
</x:worksheet>
</file>

<file path=xl/worksheets/sheet9.xml><?xml version="1.0" encoding="utf-8"?>
<x:worksheet xmlns:x="http://schemas.openxmlformats.org/spreadsheetml/2006/main">
  <x:sheetFormatPr baseColWidth="8" defaultRowHeight="15"/>
  <x:cols>
    <x:col min="1" max="1" width="14" customWidth="1"/>
    <x:col min="2" max="2" width="9" customWidth="1"/>
    <x:col min="3" max="3" width="10" customWidth="1"/>
    <x:col min="4" max="4" width="46" customWidth="1"/>
    <x:col min="5" max="5" width="15" customWidth="1"/>
    <x:col min="6" max="6" width="20" customWidth="1"/>
    <x:col min="7" max="7" width="14" customWidth="1"/>
    <x:col min="8" max="8" width="16" customWidth="1"/>
    <x:col min="9" max="9" width="20" customWidth="1"/>
  </x:cols>
  <x:sheetData>
    <x:row r="1" ht="27" customHeight="1">
      <x:c r="A1" s="7" t="inlineStr">
        <x:is>
          <x:t xml:space="preserve">Source Workbook Inventory</x:t>
        </x:is>
      </x:c>
      <x:c r="B1" s="1" t="n"/>
      <x:c r="C1" s="1" t="n"/>
      <x:c r="D1" s="1" t="n"/>
      <x:c r="E1" s="1" t="n"/>
      <x:c r="F1" s="1" t="n"/>
      <x:c r="G1" s="1" t="n"/>
      <x:c r="H1" s="1" t="n"/>
      <x:c r="I1" s="1" t="n"/>
    </x:row>
    <x:row r="2" ht="34" customHeight="1">
      <x:c r="A2" s="15" t="inlineStr">
        <x:is>
          <x:t xml:space="preserve">Audit rows removed for public distribution.</x:t>
        </x:is>
      </x:c>
      <x:c r="B2" s="1" t="n"/>
      <x:c r="C2" s="1" t="n"/>
      <x:c r="D2" s="1" t="n"/>
      <x:c r="E2" s="1" t="n"/>
      <x:c r="F2" s="1" t="n"/>
      <x:c r="G2" s="1" t="n"/>
      <x:c r="H2" s="1" t="n"/>
      <x:c r="I2" s="1" t="n"/>
    </x:row>
    <x:row r="3" ht="36" customHeight="1">
      <x:c r="A3" s="20" t="inlineStr">
        <x:is>
          <x:t xml:space="preserve">Batch</x:t>
        </x:is>
      </x:c>
      <x:c r="B3" s="20" t="inlineStr">
        <x:is>
          <x:t xml:space="preserve">Study</x:t>
        </x:is>
      </x:c>
      <x:c r="C3" s="20" t="inlineStr">
        <x:is>
          <x:t xml:space="preserve">Domain</x:t>
        </x:is>
      </x:c>
      <x:c r="D3" s="20" t="inlineStr">
        <x:is>
          <x:t xml:space="preserve">Workbook</x:t>
        </x:is>
      </x:c>
      <x:c r="E3" s="20" t="inlineStr">
        <x:is>
          <x:t xml:space="preserve">Original Rules</x:t>
        </x:is>
      </x:c>
      <x:c r="F3" s="20" t="inlineStr">
        <x:is>
          <x:t xml:space="preserve">Original Candidate Rules</x:t>
        </x:is>
      </x:c>
      <x:c r="G3" s="20" t="inlineStr">
        <x:is>
          <x:t xml:space="preserve">Evidence Rows</x:t>
        </x:is>
      </x:c>
      <x:c r="H3" s="20" t="inlineStr">
        <x:is>
          <x:t xml:space="preserve">Logic Change Rows</x:t>
        </x:is>
      </x:c>
      <x:c r="I3" s="20" t="inlineStr">
        <x:is>
          <x:t xml:space="preserve">Program Inventory Rows</x:t>
        </x:is>
      </x:c>
    </x:row>
    <x:row r="4" ht="28" customHeight="1">
      <x:c r="A4" s="28" t="inlineStr">
        <x:is>
          <x:t xml:space="preserve">Removed for public distribution</x:t>
        </x:is>
      </x:c>
      <x:c r="B4" s="28" t="n"/>
      <x:c r="C4" s="28" t="n"/>
      <x:c r="D4" s="28" t="n"/>
      <x:c r="E4" s="28" t="n"/>
      <x:c r="F4" s="28" t="n"/>
      <x:c r="G4" s="28" t="n"/>
      <x:c r="H4" s="28" t="n"/>
      <x:c r="I4" s="28" t="n"/>
    </x:row>
    <x:row r="5" ht="28" customHeight="1"/>
    <x:row r="6" ht="28" customHeight="1"/>
    <x:row r="7" ht="28" customHeight="1"/>
    <x:row r="8" ht="28" customHeight="1"/>
    <x:row r="9" ht="28" customHeight="1"/>
  </x:sheetData>
  <x:mergeCells>
    <x:mergeCell ref="A1:I1"/>
    <x:mergeCell ref="A2:I2"/>
  </x:mergeCells>
  <x:pageMargins left="0.7" right="0.7" top="0.75" bottom="0.75" header="0.3" footer="0.3"/>
  <x:tableParts count="1">
    <x:tablePart xmlns:r="http://schemas.openxmlformats.org/officeDocument/2006/relationships" r:id="Rafe47ea7c2a14a3f"/>
  </x:tableParts>
</x:worksheet>
</file>

<file path=xl/worksheets/sheet10.xml><?xml version="1.0" encoding="utf-8"?>
<x:worksheet xmlns:x="http://schemas.openxmlformats.org/spreadsheetml/2006/main">
  <x:sheetFormatPr baseColWidth="8" defaultRowHeight="15"/>
  <x:cols>
    <x:col min="1" max="1" width="18" customWidth="1"/>
    <x:col min="2" max="2" width="22" customWidth="1"/>
    <x:col min="3" max="3" width="18" customWidth="1"/>
    <x:col min="4" max="4" width="18" customWidth="1"/>
    <x:col min="5" max="5" width="50" customWidth="1"/>
    <x:col min="6" max="6" width="34" customWidth="1"/>
  </x:cols>
  <x:sheetData>
    <x:row r="1" ht="27" customHeight="1">
      <x:c r="A1" s="6" t="inlineStr">
        <x:is>
          <x:t xml:space="preserve">Combined Unclassified Changes</x:t>
        </x:is>
      </x:c>
      <x:c r="B1" s="1" t="n"/>
      <x:c r="C1" s="1" t="n"/>
      <x:c r="D1" s="1" t="n"/>
      <x:c r="E1" s="1" t="n"/>
      <x:c r="F1" s="1" t="n"/>
    </x:row>
    <x:row r="2" ht="28" customHeight="1">
      <x:c r="A2" s="35" t="inlineStr">
        <x:is>
          <x:t xml:space="preserve">All six source workbooks reported zero unclassified substantive changes.</x:t>
        </x:is>
      </x:c>
      <x:c r="B2" s="1" t="n"/>
      <x:c r="C2" s="1" t="n"/>
      <x:c r="D2" s="1" t="n"/>
      <x:c r="E2" s="1" t="n"/>
      <x:c r="F2" s="1" t="n"/>
    </x:row>
    <x:row r="3"/>
    <x:row r="4">
      <x:c r="A4" s="36" t="inlineStr">
        <x:is>
          <x:t xml:space="preserve">Batch</x:t>
        </x:is>
      </x:c>
      <x:c r="B4" s="36" t="inlineStr">
        <x:is>
          <x:t xml:space="preserve">Program</x:t>
        </x:is>
      </x:c>
      <x:c r="C4" s="36" t="inlineStr">
        <x:is>
          <x:t xml:space="preserve">Before Line</x:t>
        </x:is>
      </x:c>
      <x:c r="D4" s="36" t="inlineStr">
        <x:is>
          <x:t xml:space="preserve">After Line</x:t>
        </x:is>
      </x:c>
      <x:c r="E4" s="36" t="inlineStr">
        <x:is>
          <x:t xml:space="preserve">Change</x:t>
        </x:is>
      </x:c>
      <x:c r="F4" s="36" t="inlineStr">
        <x:is>
          <x:t xml:space="preserve">Status</x:t>
        </x:is>
      </x:c>
    </x:row>
    <x:row r="5">
      <x:c r="A5" t="inlineStr">
        <x:is>
          <x:t xml:space="preserve">All batches</x:t>
        </x:is>
      </x:c>
      <x:c r="F5" t="inlineStr">
        <x:is>
          <x:t xml:space="preserve">No unclassified substantive changes</x:t>
        </x:is>
      </x:c>
    </x:row>
  </x:sheetData>
  <x:mergeCells>
    <x:mergeCell ref="A2:F2"/>
    <x:mergeCell ref="A1:F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38" customWidth="1"/>
    <x:col min="2" max="2" width="25" customWidth="1"/>
    <x:col min="4" max="4" width="25" customWidth="1"/>
    <x:col min="5" max="5" width="14" customWidth="1"/>
  </x:cols>
  <x:sheetData>
    <x:row r="1" ht="29" customHeight="1">
      <x:c r="A1" s="39" t="inlineStr">
        <x:is>
          <x:t xml:space="preserve">Combined SAS Migration Rule Analysis</x:t>
        </x:is>
      </x:c>
      <x:c r="B1" s="1" t="n"/>
    </x:row>
    <x:row r="2" ht="32" customHeight="1">
      <x:c r="A2" s="43" t="inlineStr">
        <x:is>
          <x:t xml:space="preserve">Public rule catalog; source audit rows removed for distribution.</x:t>
        </x:is>
      </x:c>
      <x:c r="B2" s="1" t="n"/>
    </x:row>
    <x:row r="3"/>
    <x:row r="4">
      <x:c r="A4" s="36" t="inlineStr">
        <x:is>
          <x:t xml:space="preserve">Metric</x:t>
        </x:is>
      </x:c>
      <x:c r="B4" s="36" t="inlineStr">
        <x:is>
          <x:t xml:space="preserve">Result</x:t>
        </x:is>
      </x:c>
      <x:c r="D4" s="36" t="inlineStr">
        <x:is>
          <x:t xml:space="preserve">Consolidation</x:t>
        </x:is>
      </x:c>
      <x:c r="E4" s="36" t="inlineStr">
        <x:is>
          <x:t xml:space="preserve">Count</x:t>
        </x:is>
      </x:c>
    </x:row>
    <x:row r="5">
      <x:c r="A5" s="26" t="inlineStr">
        <x:is>
          <x:t xml:space="preserve">Source workbooks</x:t>
        </x:is>
      </x:c>
      <x:c r="B5" s="26" t="n">
        <x:f>0</x:f>
        <x:v>0</x:v>
      </x:c>
      <x:c r="D5" t="inlineStr">
        <x:is>
          <x:t xml:space="preserve">Original findings</x:t>
        </x:is>
      </x:c>
      <x:c r="E5" t="n">
        <x:f>B8</x:f>
        <x:v>81</x:v>
      </x:c>
    </x:row>
    <x:row r="6">
      <x:c r="A6" s="26" t="inlineStr">
        <x:is>
          <x:t xml:space="preserve">Original Rules</x:t>
        </x:is>
      </x:c>
      <x:c r="B6" s="26" t="n">
        <x:f>COUNTIF('Rule Crosswalk'!D4:D500,"Rule")</x:f>
        <x:v>41</x:v>
      </x:c>
      <x:c r="D6" t="inlineStr">
        <x:is>
          <x:t xml:space="preserve">Unique global findings</x:t>
        </x:is>
      </x:c>
      <x:c r="E6" t="n">
        <x:f>B11</x:f>
        <x:v>49</x:v>
      </x:c>
    </x:row>
    <x:row r="7">
      <x:c r="A7" s="26" t="inlineStr">
        <x:is>
          <x:t xml:space="preserve">Original Candidate Rules</x:t>
        </x:is>
      </x:c>
      <x:c r="B7" s="26" t="n">
        <x:f>COUNTIF('Rule Crosswalk'!D4:D500,"Candidate")</x:f>
        <x:v>40</x:v>
      </x:c>
      <x:c r="D7" t="inlineStr">
        <x:is>
          <x:t xml:space="preserve">Global rules</x:t>
        </x:is>
      </x:c>
      <x:c r="E7" t="n">
        <x:f>B9</x:f>
        <x:v>33</x:v>
      </x:c>
    </x:row>
    <x:row r="8">
      <x:c r="A8" s="26" t="inlineStr">
        <x:is>
          <x:t xml:space="preserve">Original Rule/Candidate Findings</x:t>
        </x:is>
      </x:c>
      <x:c r="B8" s="26" t="n">
        <x:f>B6+B7</x:f>
        <x:v>81</x:v>
      </x:c>
      <x:c r="D8" t="inlineStr">
        <x:is>
          <x:t xml:space="preserve">Global candidates</x:t>
        </x:is>
      </x:c>
      <x:c r="E8" t="n">
        <x:f>B10</x:f>
        <x:v>16</x:v>
      </x:c>
    </x:row>
    <x:row r="9">
      <x:c r="A9" s="26" t="inlineStr">
        <x:is>
          <x:t xml:space="preserve">Consolidated Global Rules</x:t>
        </x:is>
      </x:c>
      <x:c r="B9" s="26" t="n">
        <x:f>COUNTA(Rules!A4:A200)</x:f>
        <x:v>33</x:v>
      </x:c>
    </x:row>
    <x:row r="10">
      <x:c r="A10" s="26" t="inlineStr">
        <x:is>
          <x:t xml:space="preserve">Consolidated Global Candidates</x:t>
        </x:is>
      </x:c>
      <x:c r="B10" s="26" t="n">
        <x:f>COUNTA('Candidate Rules'!A4:A200)</x:f>
        <x:v>16</x:v>
      </x:c>
    </x:row>
    <x:row r="11">
      <x:c r="A11" s="26" t="inlineStr">
        <x:is>
          <x:t xml:space="preserve">Unique Global Findings</x:t>
        </x:is>
      </x:c>
      <x:c r="B11" s="26" t="n">
        <x:f>B9+B10</x:f>
        <x:v>49</x:v>
      </x:c>
    </x:row>
    <x:row r="12">
      <x:c r="A12" s="26" t="inlineStr">
        <x:is>
          <x:t xml:space="preserve">Similar/Duplicate Findings Consolidated</x:t>
        </x:is>
      </x:c>
      <x:c r="B12" s="26" t="n">
        <x:f>B8-B11</x:f>
        <x:v>32</x:v>
      </x:c>
    </x:row>
    <x:row r="13">
      <x:c r="A13" s="26" t="inlineStr">
        <x:is>
          <x:t xml:space="preserve">Rule Crosswalk Rows</x:t>
        </x:is>
      </x:c>
      <x:c r="B13" s="26" t="n">
        <x:f>COUNTA('Rule Crosswalk'!A4:A500)</x:f>
        <x:v>81</x:v>
      </x:c>
    </x:row>
    <x:row r="14">
      <x:c r="A14" s="26" t="inlineStr">
        <x:is>
          <x:t xml:space="preserve">Evidence Rows</x:t>
        </x:is>
      </x:c>
      <x:c r="B14" s="26" t="n">
        <x:f>0</x:f>
        <x:v>0</x:v>
      </x:c>
    </x:row>
    <x:row r="15">
      <x:c r="A15" s="26" t="inlineStr">
        <x:is>
          <x:t xml:space="preserve">Logic Change Rows</x:t>
        </x:is>
      </x:c>
      <x:c r="B15" s="26" t="n">
        <x:f>0</x:f>
        <x:v>0</x:v>
      </x:c>
    </x:row>
    <x:row r="16">
      <x:c r="A16" s="26" t="inlineStr">
        <x:is>
          <x:t xml:space="preserve">Program Inventory Rows</x:t>
        </x:is>
      </x:c>
      <x:c r="B16" s="26" t="n">
        <x:f>0</x:f>
        <x:v>0</x:v>
      </x:c>
    </x:row>
    <x:row r="17">
      <x:c r="A17" s="26" t="inlineStr">
        <x:is>
          <x:t xml:space="preserve">Paired Programs</x:t>
        </x:is>
      </x:c>
      <x:c r="B17" s="26" t="n">
        <x:f>0</x:f>
        <x:v>0</x:v>
      </x:c>
    </x:row>
    <x:row r="18">
      <x:c r="A18" s="26" t="inlineStr">
        <x:is>
          <x:t xml:space="preserve">Unpaired Before Programs</x:t>
        </x:is>
      </x:c>
      <x:c r="B18" s="26" t="n">
        <x:f>0</x:f>
        <x:v>0</x:v>
      </x:c>
    </x:row>
    <x:row r="19">
      <x:c r="A19" s="26" t="inlineStr">
        <x:is>
          <x:t xml:space="preserve">Unpaired After Programs</x:t>
        </x:is>
      </x:c>
      <x:c r="B19" s="26" t="n">
        <x:f>0</x:f>
        <x:v>0</x:v>
      </x:c>
    </x:row>
    <x:row r="20">
      <x:c r="A20" s="26" t="inlineStr">
        <x:is>
          <x:t xml:space="preserve">Global Rules — Conflicted</x:t>
        </x:is>
      </x:c>
      <x:c r="B20" s="26" t="n">
        <x:f>COUNTIF(Rules!O4:O200,"Conflicted")</x:f>
        <x:v>17</x:v>
      </x:c>
    </x:row>
    <x:row r="21">
      <x:c r="A21" s="26" t="inlineStr">
        <x:is>
          <x:t xml:space="preserve">Global Rules — High Risk</x:t>
        </x:is>
      </x:c>
      <x:c r="B21" s="26" t="n">
        <x:f>COUNTIF(Rules!J4:J200,"High")</x:f>
        <x:v>27</x:v>
      </x:c>
    </x:row>
    <x:row r="22">
      <x:c r="A22" s="26" t="inlineStr">
        <x:is>
          <x:t xml:space="preserve">Global Rules — Contextual</x:t>
        </x:is>
      </x:c>
      <x:c r="B22" s="26" t="n">
        <x:f>COUNTIF(Rules!I4:I200,"Contextual")</x:f>
        <x:v>31</x:v>
      </x:c>
    </x:row>
    <x:row r="23">
      <x:c r="A23" s="26" t="inlineStr">
        <x:is>
          <x:t xml:space="preserve">Consolidated Parameters</x:t>
        </x:is>
      </x:c>
      <x:c r="B23" s="26" t="n">
        <x:f>COUNTA(Parameters!A4:A500)</x:f>
        <x:v>46</x:v>
      </x:c>
    </x:row>
    <x:row r="24">
      <x:c r="A24" s="26" t="inlineStr">
        <x:is>
          <x:t xml:space="preserve">Crosswalk Reconciliation</x:t>
        </x:is>
      </x:c>
      <x:c r="B24" s="26" t="str">
        <x:f>IF(B13=B8,"PASS","FAIL")</x:f>
        <x:v>PASS</x:v>
      </x:c>
    </x:row>
  </x:sheetData>
  <x:mergeCells>
    <x:mergeCell ref="A2:B2"/>
    <x:mergeCell ref="A1:B1"/>
  </x:mergeCells>
  <x:conditionalFormatting sqref="B24:B24">
    <x:cfRule type="expression" dxfId="0" priority="1">
      <x:formula>B24="PASS"</x:formula>
    </x:cfRule>
    <x:cfRule type="expression" dxfId="1" priority="2">
      <x:formula>B24="FAIL"</x:formula>
    </x:cfRule>
  </x:conditionalFormatting>
  <x:pageMargins left="0.7" right="0.7" top="0.75" bottom="0.75" header="0.3" footer="0.3"/>
  <x:drawing xmlns:r="http://schemas.openxmlformats.org/officeDocument/2006/relationships" r:id="R4638130cc34848ee"/>
</x:worksheet>
</file>